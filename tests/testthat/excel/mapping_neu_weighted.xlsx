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3062D0D8-FD6C-4509-B454-1E33A2E4FC75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Macro!$E$3:$BB$42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1" l="1"/>
  <c r="A23" i="3" l="1"/>
  <c r="A22" i="3" l="1"/>
  <c r="A25" i="3"/>
  <c r="A24" i="3"/>
  <c r="A21" i="3"/>
  <c r="A20" i="3"/>
  <c r="A19" i="3"/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<sst xmlns="http://schemas.openxmlformats.org/spreadsheetml/2006/main" count="877" uniqueCount="328">
  <si>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</si>
  <si>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</si>
  <si>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</si>
  <si>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</si>
  <si>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</si>
  <si>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</si>
  <si>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</si>
  <si>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</si>
  <si>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</si>
  <si>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</si>
  <si>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</si>
  <si>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</si>
  <si>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</si>
  <si>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</si>
  <si>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</si>
  <si>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</si>
  <si>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</si>
  <si>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</si>
  <si>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</si>
  <si>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</si>
  <si>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</si>
  <si>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</si>
  <si>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</si>
  <si>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</si>
  <si>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</si>
  <si>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</si>
  <si>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</si>
  <si>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</si>
  <si>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</si>
  <si>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</si>
  <si>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</si>
  <si>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</si>
  <si>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</si>
  <si>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</si>
  <si>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</si>
  <si>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</si>
  <si>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</si>
  <si>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</si>
  <si>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</si>
  <si>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</si>
  <si>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</si>
  <si>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</si>
  <si>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</si>
  <si>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</si>
  <si>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</si>
  <si>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</si>
  <si>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</si>
  <si>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</si>
  <si>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</si>
  <si>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</si>
  <si>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</si>
  <si>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</si>
  <si>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</si>
  <si>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</si>
  <si>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</si>
  <si>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</si>
  <si>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</si>
  <si>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</si>
  <si>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</si>
  <si>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</si>
  <si>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</si>
  <si>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</si>
  <si>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</si>
  <si>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</si>
  <si>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</si>
  <si>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</si>
  <si>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</si>
  <si>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</si>
  <si>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</si>
  <si>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</si>
  <si>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</si>
  <si>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</si>
  <si>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</si>
  <si>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</si>
  <si>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</si>
  <si>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</si>
  <si>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</si>
  <si>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</si>
  <si>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</si>
  <si>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</si>
  <si>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</si>
  <si>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</si>
  <si>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</si>
  <si>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</si>
  <si>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</si>
  <si>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</si>
  <si>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</si>
  <si>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</si>
  <si>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</si>
  <si>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</si>
  <si>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</si>
  <si>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</si>
  <si>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</si>
  <si>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</si>
  <si>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</si>
  <si>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</si>
  <si>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</si>
  <si>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</si>
  <si>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</si>
  <si>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</si>
  <si>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</si>
  <si>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</si>
  <si>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</si>
  <si>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</si>
  <si>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</si>
  <si>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</si>
  <si>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</si>
  <si>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</si>
  <si>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</si>
  <si>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</si>
  <si>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</si>
  <si>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</si>
  <si>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</si>
  <si>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</si>
  <si>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</si>
  <si>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</si>
  <si>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</si>
  <si>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</si>
  <si>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</si>
  <si>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</si>
  <si>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</si>
  <si>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</si>
  <si>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</si>
  <si>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</si>
  <si>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</si>
  <si>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</si>
  <si>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</si>
  <si>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</si>
  <si>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</si>
  <si>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</si>
  <si>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</si>
  <si>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</si>
  <si>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</si>
  <si>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</si>
  <si>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</si>
  <si>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</si>
  <si>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</si>
  <si>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</si>
  <si>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</si>
  <si>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</si>
  <si>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</si>
  <si>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</si>
  <si>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</si>
  <si>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</si>
  <si>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</si>
  <si>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</si>
  <si>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</si>
  <si>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</si>
  <si>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</si>
  <si>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</si>
  <si>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</si>
  <si>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</si>
  <si>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</si>
  <si>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</si>
  <si>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</si>
  <si>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x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</si>
  <si>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</si>
  <si>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</si>
  <si>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</si>
  <si>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</si>
  <si>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</si>
  <si>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</si>
  <si>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</si>
  <si>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</si>
  <si>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</si>
  <si>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</si>
  <si>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</si>
  <si>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</si>
  <si>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</si>
  <si>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</si>
  <si>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</si>
  <si>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</si>
  <si>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</si>
  <si>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</si>
  <si>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</si>
  <si>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</si>
  <si>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</si>
  <si>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</si>
  <si>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</si>
  <si>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</si>
  <si>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</si>
  <si>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</si>
  <si>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</si>
  <si>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</si>
  <si>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</si>
  <si>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</si>
  <si>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</si>
  <si>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</si>
  <si>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</si>
  <si>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</si>
  <si>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</si>
  <si>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</si>
  <si>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</si>
  <si>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</si>
  <si>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</si>
  <si>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</si>
  <si>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</si>
  <si>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</si>
  <si>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</si>
  <si>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</si>
  <si>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</si>
  <si>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</si>
  <si>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</si>
  <si>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</si>
  <si>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</si>
  <si>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</si>
  <si>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</si>
  <si>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</si>
  <si>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</si>
  <si>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</si>
  <si>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</si>
  <si>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</si>
  <si>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</si>
  <si>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</si>
  <si>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</si>
  <si>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</si>
  <si>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</si>
  <si>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</si>
  <si>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</si>
  <si>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</si>
  <si>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</si>
  <si>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</si>
  <si>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</si>
  <si>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</si>
  <si>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</si>
  <si>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</si>
  <si>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</si>
  <si>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</si>
  <si>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</si>
  <si>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</si>
  <si>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</si>
  <si>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</si>
  <si>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</si>
  <si>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</si>
  <si>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</si>
  <si>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</si>
  <si>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</si>
  <si>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</si>
  <si>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</si>
  <si>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</si>
  <si>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</si>
  <si>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</si>
  <si>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</si>
  <si>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</si>
  <si>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</si>
  <si>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</si>
  <si>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</si>
  <si>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</si>
  <si>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</si>
  <si>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</si>
  <si>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</si>
  <si>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</si>
  <si>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</si>
  <si>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</si>
  <si>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</si>
  <si>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</si>
  <si>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</si>
  <si>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</si>
  <si>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</si>
  <si>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</si>
  <si>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</si>
  <si>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</si>
  <si>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</si>
  <si>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</si>
  <si>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</si>
  <si>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</si>
  <si>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</si>
  <si>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</si>
  <si>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</si>
  <si>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</si>
  <si>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</si>
  <si>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</si>
  <si>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</si>
  <si>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</si>
  <si>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</si>
  <si>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</si>
  <si>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</si>
  <si>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</si>
  <si>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</si>
  <si>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</si>
  <si>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</si>
  <si>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</si>
  <si>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</si>
  <si>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</si>
  <si>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</si>
  <si>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</si>
  <si>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</si>
  <si>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</si>
  <si>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</si>
  <si>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</si>
  <si>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</si>
  <si>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</si>
  <si>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</si>
  <si>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</si>
  <si>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</si>
  <si>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</si>
  <si>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</si>
  <si>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</si>
  <si>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</si>
  <si>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</si>
  <si>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</si>
  <si>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</si>
  <si>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</si>
  <si>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</si>
  <si>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</si>
  <si>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</si>
  <si>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</si>
  <si>
    <t xml:space="preserve">q2_01 q2_02 q2_03 q2_04 q2_05 q2_06 </t>
  </si>
  <si>
    <t xml:space="preserve">q5n1 q5n2 q5n3 q5n4 </t>
  </si>
  <si>
    <t>NOT CHECKED: 2. Welche Art von Studien führen Sie mit dem Tabellenbandtool durch?' 'DC#SELVALLAB</t>
  </si>
  <si>
    <t>NOT CHECKED: 5. Was lief besonders gut in den Projekten?</t>
  </si>
  <si>
    <t>7. Für die abgefragten Studienarten: Wie zufrieden sind Sie mit dem Tabellenbandtool bezüglich der eben abgefragten Merkmale?' 'DC#SELVALLAB</t>
  </si>
  <si>
    <t>(1 THRU 4=1) (5 THRU 7=2) (8 THRU 10=3)</t>
  </si>
  <si>
    <t>1 '1 bis 4' 2 '5 bis 7' 3 '8 bis 10'</t>
  </si>
  <si>
    <t>2 3-6:Sonstige</t>
  </si>
  <si>
    <t>TOP3:(8 THRU 10=100) (1 THRU 10=0)</t>
  </si>
  <si>
    <t>q7a1 q7a2 q7b1 q7b2</t>
  </si>
  <si>
    <t xml:space="preserve">q2_01 q2_02 q2_03 q2_04 </t>
  </si>
  <si>
    <t>3-6:Sonstige</t>
  </si>
  <si>
    <t>multi selvar with unguelt: 2. Welche Art von Studien führen Sie mit dem Tabellenbandtool durch?' 'DC#SELVALLAB</t>
  </si>
  <si>
    <t>q2_05 q2_05 q2_00 q2_00</t>
  </si>
  <si>
    <t>trigger invalid values: 2. Welche Art von Studien führen Sie mit dem Tabellenbandtool durch?</t>
  </si>
  <si>
    <t>q2_06</t>
  </si>
  <si>
    <t>q2_02 q2_01</t>
  </si>
  <si>
    <t>ts: dplyr::matches("q2_\\d+$") &amp; -c(q2_00, q2_99) &amp; where(\(x) length(unique(x)) &gt; 1)</t>
  </si>
  <si>
    <t>-1,-3,-2</t>
  </si>
  <si>
    <t>Invalid</t>
  </si>
  <si>
    <t xml:space="preserve">1 "1-2mal" 2 '3-5mal' 3 '&gt;5mal'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</si>
</sst>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8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  <xf numFmtId="0" fontId="1" fillId="17" borderId="0" xfId="1" quotePrefix="1" applyFill="1"/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25</xdr:row>
      <xdr:rowOff>132945</xdr:rowOff>
    </xdr:from>
    <xdr:to>
      <xdr:col>3</xdr:col>
      <xdr:colOff>117000</xdr:colOff>
      <xdr:row>34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13" zoomScaleNormal="100" workbookViewId="0">
      <selection activeCell="C16" sqref="C16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258</v>
      </c>
      <c r="E15" s="10"/>
    </row>
    <row r="16" spans="1:14" x14ac:dyDescent="0.25">
      <c r="A16" s="10" t="s">
        <v>14</v>
      </c>
      <c r="B16" s="7">
        <v>2</v>
      </c>
      <c r="C16" s="1" t="str">
        <f>HLOOKUP(V_Scenario,V_ScenDetail,2,FALSE)</f>
        <v>Scenario 2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270</v>
      </c>
      <c r="B23" s="33" t="s">
        <v>271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282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21" priority="5" operator="greaterThan">
      <formula>0</formula>
    </cfRule>
  </conditionalFormatting>
  <conditionalFormatting sqref="H5">
    <cfRule type="expression" dxfId="20" priority="2">
      <formula>H5&lt;H3</formula>
    </cfRule>
  </conditionalFormatting>
  <conditionalFormatting sqref="H7">
    <cfRule type="expression" dxfId="19" priority="3">
      <formula>H7&lt;H5</formula>
    </cfRule>
  </conditionalFormatting>
  <conditionalFormatting sqref="H9">
    <cfRule type="expression" dxfId="1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2"/>
  <sheetViews>
    <sheetView topLeftCell="AJ1" zoomScaleNormal="100" workbookViewId="0">
      <selection activeCell="E6" sqref="E6:BB6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269</v>
      </c>
      <c r="B5" s="20" t="s">
        <v>149</v>
      </c>
      <c r="C5" s="20" t="s">
        <v>150</v>
      </c>
      <c r="D5" s="20" t="s">
        <v>151</v>
      </c>
      <c r="E5" s="29" t="s">
        <v>272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326</v>
      </c>
      <c r="B6" s="20" t="s">
        <v>152</v>
      </c>
      <c r="C6" s="20" t="s">
        <v>153</v>
      </c>
      <c r="D6" s="20" t="s">
        <v>154</v>
      </c>
      <c r="E6" s="37" t="s">
        <v>325</v>
      </c>
      <c r="F6" s="37" t="s">
        <v>325</v>
      </c>
      <c r="G6" s="37" t="s">
        <v>325</v>
      </c>
      <c r="H6" s="37" t="s">
        <v>325</v>
      </c>
      <c r="I6" s="37" t="s">
        <v>325</v>
      </c>
      <c r="J6" s="37" t="s">
        <v>325</v>
      </c>
      <c r="K6" s="37" t="s">
        <v>325</v>
      </c>
      <c r="L6" s="37" t="s">
        <v>325</v>
      </c>
      <c r="M6" s="37" t="s">
        <v>325</v>
      </c>
      <c r="N6" s="37" t="s">
        <v>325</v>
      </c>
      <c r="O6" s="37" t="s">
        <v>325</v>
      </c>
      <c r="P6" s="37" t="s">
        <v>325</v>
      </c>
      <c r="Q6" s="37" t="s">
        <v>325</v>
      </c>
      <c r="R6" s="37" t="s">
        <v>325</v>
      </c>
      <c r="S6" s="37" t="s">
        <v>325</v>
      </c>
      <c r="T6" s="37" t="s">
        <v>325</v>
      </c>
      <c r="U6" s="37" t="s">
        <v>325</v>
      </c>
      <c r="V6" s="37" t="s">
        <v>325</v>
      </c>
      <c r="W6" s="37" t="s">
        <v>325</v>
      </c>
      <c r="X6" s="37" t="s">
        <v>325</v>
      </c>
      <c r="Y6" s="37" t="s">
        <v>325</v>
      </c>
      <c r="Z6" s="37" t="s">
        <v>325</v>
      </c>
      <c r="AA6" s="37" t="s">
        <v>325</v>
      </c>
      <c r="AB6" s="37" t="s">
        <v>325</v>
      </c>
      <c r="AC6" s="37" t="s">
        <v>325</v>
      </c>
      <c r="AD6" s="37" t="s">
        <v>325</v>
      </c>
      <c r="AE6" s="37" t="s">
        <v>325</v>
      </c>
      <c r="AF6" s="37" t="s">
        <v>325</v>
      </c>
      <c r="AG6" s="37" t="s">
        <v>325</v>
      </c>
      <c r="AH6" s="37" t="s">
        <v>325</v>
      </c>
      <c r="AI6" s="37" t="s">
        <v>325</v>
      </c>
      <c r="AJ6" s="37" t="s">
        <v>325</v>
      </c>
      <c r="AK6" s="37" t="s">
        <v>325</v>
      </c>
      <c r="AL6" s="37" t="s">
        <v>325</v>
      </c>
      <c r="AM6" s="37" t="s">
        <v>325</v>
      </c>
      <c r="AN6" s="37" t="s">
        <v>325</v>
      </c>
      <c r="AO6" s="37" t="s">
        <v>325</v>
      </c>
      <c r="AP6" s="37" t="s">
        <v>325</v>
      </c>
      <c r="AQ6" s="37" t="s">
        <v>325</v>
      </c>
      <c r="AR6" s="37" t="s">
        <v>325</v>
      </c>
      <c r="AS6" s="37" t="s">
        <v>325</v>
      </c>
      <c r="AT6" s="37" t="s">
        <v>325</v>
      </c>
      <c r="AU6" s="37" t="s">
        <v>325</v>
      </c>
      <c r="AV6" s="37" t="s">
        <v>325</v>
      </c>
      <c r="AW6" s="37" t="s">
        <v>325</v>
      </c>
      <c r="AX6" s="37" t="s">
        <v>325</v>
      </c>
      <c r="AY6" s="37" t="s">
        <v>325</v>
      </c>
      <c r="AZ6" s="37" t="s">
        <v>325</v>
      </c>
      <c r="BA6" s="37" t="s">
        <v>325</v>
      </c>
      <c r="BB6" s="37" t="s">
        <v>325</v>
      </c>
      <c r="BD6" s="19"/>
    </row>
    <row r="7" spans="1:56" x14ac:dyDescent="0.25">
      <c r="A7" s="27" t="s">
        <v>221</v>
      </c>
      <c r="B7" s="20" t="s">
        <v>156</v>
      </c>
      <c r="C7" s="20" t="s">
        <v>157</v>
      </c>
      <c r="D7" s="20" t="s">
        <v>158</v>
      </c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D7" s="19"/>
    </row>
    <row r="8" spans="1:56" x14ac:dyDescent="0.25">
      <c r="A8" s="20"/>
      <c r="B8" s="20"/>
      <c r="C8" s="20"/>
      <c r="D8" s="20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D8" s="19"/>
    </row>
    <row r="9" spans="1:56" x14ac:dyDescent="0.25">
      <c r="A9" s="20" t="s">
        <v>159</v>
      </c>
      <c r="B9" s="20" t="s">
        <v>160</v>
      </c>
      <c r="C9" s="20"/>
      <c r="D9" s="20" t="s">
        <v>161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 t="s">
        <v>162</v>
      </c>
      <c r="B10" s="20"/>
      <c r="C10" s="20" t="s">
        <v>155</v>
      </c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1" t="s">
        <v>163</v>
      </c>
      <c r="B11" s="20" t="s">
        <v>164</v>
      </c>
      <c r="C11" s="20"/>
      <c r="D11" s="20"/>
      <c r="E11" s="14"/>
      <c r="F11" s="14" t="b">
        <v>1</v>
      </c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165</v>
      </c>
      <c r="B12" s="20"/>
      <c r="C12" s="20" t="s">
        <v>155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0" t="s">
        <v>166</v>
      </c>
      <c r="B13" s="20" t="s">
        <v>167</v>
      </c>
      <c r="C13" s="20"/>
      <c r="D13" s="20"/>
      <c r="E13" s="14"/>
      <c r="F13" s="14" t="s">
        <v>244</v>
      </c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168</v>
      </c>
      <c r="B14" s="20"/>
      <c r="C14" s="20" t="s">
        <v>155</v>
      </c>
      <c r="D14" s="20" t="s">
        <v>169</v>
      </c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1" t="s">
        <v>170</v>
      </c>
      <c r="B15" s="20" t="s">
        <v>171</v>
      </c>
      <c r="C15" s="20"/>
      <c r="D15" s="20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1" t="s">
        <v>172</v>
      </c>
      <c r="B16" s="20" t="s">
        <v>173</v>
      </c>
      <c r="C16" s="20" t="s">
        <v>174</v>
      </c>
      <c r="D16" s="20"/>
      <c r="E16" s="14" t="s">
        <v>175</v>
      </c>
      <c r="F16" s="14" t="s">
        <v>175</v>
      </c>
      <c r="G16" s="14" t="s">
        <v>175</v>
      </c>
      <c r="H16" s="14" t="s">
        <v>175</v>
      </c>
      <c r="I16" s="14" t="s">
        <v>175</v>
      </c>
      <c r="J16" s="14" t="s">
        <v>175</v>
      </c>
      <c r="K16" s="14" t="s">
        <v>175</v>
      </c>
      <c r="L16" s="14" t="s">
        <v>175</v>
      </c>
      <c r="M16" s="14" t="s">
        <v>175</v>
      </c>
      <c r="N16" s="14" t="s">
        <v>175</v>
      </c>
      <c r="O16" s="14" t="s">
        <v>175</v>
      </c>
      <c r="P16" s="14" t="s">
        <v>175</v>
      </c>
      <c r="Q16" s="14" t="s">
        <v>175</v>
      </c>
      <c r="R16" s="14" t="s">
        <v>175</v>
      </c>
      <c r="S16" s="14" t="s">
        <v>175</v>
      </c>
      <c r="T16" s="14" t="s">
        <v>175</v>
      </c>
      <c r="U16" s="14" t="s">
        <v>175</v>
      </c>
      <c r="V16" s="14" t="s">
        <v>175</v>
      </c>
      <c r="W16" s="14" t="s">
        <v>175</v>
      </c>
      <c r="X16" s="14" t="s">
        <v>175</v>
      </c>
      <c r="Y16" s="14" t="s">
        <v>175</v>
      </c>
      <c r="Z16" s="14" t="s">
        <v>175</v>
      </c>
      <c r="AA16" s="14" t="s">
        <v>175</v>
      </c>
      <c r="AB16" s="14" t="s">
        <v>175</v>
      </c>
      <c r="AC16" s="14" t="s">
        <v>175</v>
      </c>
      <c r="AD16" s="14" t="s">
        <v>175</v>
      </c>
      <c r="AE16" s="14" t="s">
        <v>175</v>
      </c>
      <c r="AF16" s="14" t="s">
        <v>175</v>
      </c>
      <c r="AG16" s="14" t="s">
        <v>175</v>
      </c>
      <c r="AH16" s="14" t="s">
        <v>175</v>
      </c>
      <c r="AI16" s="14" t="s">
        <v>175</v>
      </c>
      <c r="AJ16" s="14" t="s">
        <v>175</v>
      </c>
      <c r="AK16" s="14" t="s">
        <v>175</v>
      </c>
      <c r="AL16" s="14" t="s">
        <v>175</v>
      </c>
      <c r="AM16" s="14" t="s">
        <v>175</v>
      </c>
      <c r="AN16" s="14" t="s">
        <v>175</v>
      </c>
      <c r="AO16" s="14" t="s">
        <v>175</v>
      </c>
      <c r="AP16" s="14" t="s">
        <v>175</v>
      </c>
      <c r="AQ16" s="14" t="s">
        <v>175</v>
      </c>
      <c r="AR16" s="14" t="s">
        <v>175</v>
      </c>
      <c r="AS16" s="14" t="s">
        <v>175</v>
      </c>
      <c r="AT16" s="14" t="s">
        <v>175</v>
      </c>
      <c r="AU16" s="14" t="s">
        <v>175</v>
      </c>
      <c r="AV16" s="14" t="s">
        <v>175</v>
      </c>
      <c r="AW16" s="14" t="s">
        <v>175</v>
      </c>
      <c r="AX16" s="14" t="s">
        <v>175</v>
      </c>
      <c r="AY16" s="14" t="s">
        <v>175</v>
      </c>
      <c r="AZ16" s="14" t="s">
        <v>175</v>
      </c>
      <c r="BA16" s="14" t="s">
        <v>175</v>
      </c>
      <c r="BB16" s="14" t="s">
        <v>175</v>
      </c>
      <c r="BD16" s="19"/>
    </row>
    <row r="17" spans="1:56" x14ac:dyDescent="0.25">
      <c r="A17" s="20" t="s">
        <v>176</v>
      </c>
      <c r="B17" s="20"/>
      <c r="C17" s="20" t="s">
        <v>155</v>
      </c>
      <c r="D17" s="20"/>
      <c r="E17" s="14" t="s">
        <v>177</v>
      </c>
      <c r="F17" s="14" t="s">
        <v>177</v>
      </c>
      <c r="G17" s="14" t="s">
        <v>177</v>
      </c>
      <c r="H17" s="14" t="s">
        <v>177</v>
      </c>
      <c r="I17" s="14" t="s">
        <v>177</v>
      </c>
      <c r="J17" s="14" t="s">
        <v>177</v>
      </c>
      <c r="K17" s="14" t="s">
        <v>177</v>
      </c>
      <c r="L17" s="14" t="s">
        <v>177</v>
      </c>
      <c r="M17" s="14" t="s">
        <v>177</v>
      </c>
      <c r="N17" s="14" t="s">
        <v>177</v>
      </c>
      <c r="O17" s="14" t="s">
        <v>177</v>
      </c>
      <c r="P17" s="14" t="s">
        <v>177</v>
      </c>
      <c r="Q17" s="14" t="s">
        <v>177</v>
      </c>
      <c r="R17" s="14" t="s">
        <v>177</v>
      </c>
      <c r="S17" s="14" t="s">
        <v>177</v>
      </c>
      <c r="T17" s="14" t="s">
        <v>177</v>
      </c>
      <c r="U17" s="14" t="s">
        <v>177</v>
      </c>
      <c r="V17" s="14" t="s">
        <v>177</v>
      </c>
      <c r="W17" s="14" t="s">
        <v>177</v>
      </c>
      <c r="X17" s="14" t="s">
        <v>177</v>
      </c>
      <c r="Y17" s="14" t="s">
        <v>177</v>
      </c>
      <c r="Z17" s="14" t="s">
        <v>177</v>
      </c>
      <c r="AA17" s="14" t="s">
        <v>177</v>
      </c>
      <c r="AB17" s="14" t="s">
        <v>177</v>
      </c>
      <c r="AC17" s="14" t="s">
        <v>177</v>
      </c>
      <c r="AD17" s="14" t="s">
        <v>177</v>
      </c>
      <c r="AE17" s="14" t="s">
        <v>177</v>
      </c>
      <c r="AF17" s="14" t="s">
        <v>177</v>
      </c>
      <c r="AG17" s="14" t="s">
        <v>177</v>
      </c>
      <c r="AH17" s="14" t="s">
        <v>177</v>
      </c>
      <c r="AI17" s="14" t="s">
        <v>177</v>
      </c>
      <c r="AJ17" s="14" t="s">
        <v>177</v>
      </c>
      <c r="AK17" s="14" t="s">
        <v>177</v>
      </c>
      <c r="AL17" s="14" t="s">
        <v>177</v>
      </c>
      <c r="AM17" s="14" t="s">
        <v>177</v>
      </c>
      <c r="AN17" s="14" t="s">
        <v>177</v>
      </c>
      <c r="AO17" s="14" t="s">
        <v>177</v>
      </c>
      <c r="AP17" s="14" t="s">
        <v>177</v>
      </c>
      <c r="AQ17" s="14" t="s">
        <v>177</v>
      </c>
      <c r="AR17" s="14" t="s">
        <v>177</v>
      </c>
      <c r="AS17" s="14" t="s">
        <v>177</v>
      </c>
      <c r="AT17" s="14" t="s">
        <v>177</v>
      </c>
      <c r="AU17" s="14" t="s">
        <v>177</v>
      </c>
      <c r="AV17" s="14" t="s">
        <v>177</v>
      </c>
      <c r="AW17" s="14" t="s">
        <v>177</v>
      </c>
      <c r="AX17" s="14" t="s">
        <v>177</v>
      </c>
      <c r="AY17" s="14" t="s">
        <v>177</v>
      </c>
      <c r="AZ17" s="14" t="s">
        <v>177</v>
      </c>
      <c r="BA17" s="14" t="s">
        <v>177</v>
      </c>
      <c r="BB17" s="14" t="s">
        <v>177</v>
      </c>
      <c r="BD17" s="19"/>
    </row>
    <row r="18" spans="1:56" x14ac:dyDescent="0.25">
      <c r="A18" s="20" t="s">
        <v>178</v>
      </c>
      <c r="B18" s="20"/>
      <c r="C18" s="20" t="s">
        <v>155</v>
      </c>
      <c r="D18" s="20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D18" s="19"/>
    </row>
    <row r="19" spans="1:56" x14ac:dyDescent="0.25">
      <c r="A19" s="21" t="s">
        <v>179</v>
      </c>
      <c r="B19" s="20" t="s">
        <v>180</v>
      </c>
      <c r="C19" s="20"/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 t="s">
        <v>183</v>
      </c>
      <c r="C20" s="20"/>
      <c r="D20" s="20" t="s">
        <v>184</v>
      </c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0" t="s">
        <v>185</v>
      </c>
      <c r="B21" s="20"/>
      <c r="C21" s="20" t="s">
        <v>155</v>
      </c>
      <c r="D21" s="20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D21" s="19"/>
    </row>
    <row r="22" spans="1:56" x14ac:dyDescent="0.25">
      <c r="A22" s="20" t="s">
        <v>186</v>
      </c>
      <c r="B22" s="20"/>
      <c r="C22" s="20" t="s">
        <v>155</v>
      </c>
      <c r="D22" s="20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187</v>
      </c>
      <c r="B23" s="20"/>
      <c r="C23" s="20" t="s">
        <v>155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188</v>
      </c>
      <c r="B24" s="20"/>
      <c r="C24" s="20" t="s">
        <v>155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189</v>
      </c>
      <c r="B25" s="20"/>
      <c r="C25" s="20" t="s">
        <v>155</v>
      </c>
      <c r="D25" s="20"/>
      <c r="E25" s="14" t="s">
        <v>190</v>
      </c>
      <c r="F25" s="14" t="s">
        <v>190</v>
      </c>
      <c r="G25" s="14" t="s">
        <v>190</v>
      </c>
      <c r="H25" s="14" t="s">
        <v>190</v>
      </c>
      <c r="I25" s="14" t="s">
        <v>190</v>
      </c>
      <c r="J25" s="14" t="s">
        <v>190</v>
      </c>
      <c r="K25" s="14" t="s">
        <v>190</v>
      </c>
      <c r="L25" s="14" t="s">
        <v>190</v>
      </c>
      <c r="M25" s="14" t="s">
        <v>190</v>
      </c>
      <c r="N25" s="14" t="s">
        <v>190</v>
      </c>
      <c r="O25" s="14" t="s">
        <v>190</v>
      </c>
      <c r="P25" s="14" t="s">
        <v>190</v>
      </c>
      <c r="Q25" s="14" t="s">
        <v>190</v>
      </c>
      <c r="R25" s="14" t="s">
        <v>190</v>
      </c>
      <c r="S25" s="14" t="s">
        <v>190</v>
      </c>
      <c r="T25" s="14" t="s">
        <v>190</v>
      </c>
      <c r="U25" s="14" t="s">
        <v>190</v>
      </c>
      <c r="V25" s="14" t="s">
        <v>190</v>
      </c>
      <c r="W25" s="14" t="s">
        <v>190</v>
      </c>
      <c r="X25" s="14" t="s">
        <v>190</v>
      </c>
      <c r="Y25" s="14" t="s">
        <v>190</v>
      </c>
      <c r="Z25" s="14" t="s">
        <v>190</v>
      </c>
      <c r="AA25" s="14" t="s">
        <v>190</v>
      </c>
      <c r="AB25" s="14" t="s">
        <v>190</v>
      </c>
      <c r="AC25" s="14" t="s">
        <v>190</v>
      </c>
      <c r="AD25" s="14" t="s">
        <v>190</v>
      </c>
      <c r="AE25" s="14" t="s">
        <v>190</v>
      </c>
      <c r="AF25" s="14" t="s">
        <v>190</v>
      </c>
      <c r="AG25" s="14" t="s">
        <v>190</v>
      </c>
      <c r="AH25" s="14" t="s">
        <v>190</v>
      </c>
      <c r="AI25" s="14" t="s">
        <v>190</v>
      </c>
      <c r="AJ25" s="14" t="s">
        <v>190</v>
      </c>
      <c r="AK25" s="14" t="s">
        <v>190</v>
      </c>
      <c r="AL25" s="14" t="s">
        <v>190</v>
      </c>
      <c r="AM25" s="14" t="s">
        <v>190</v>
      </c>
      <c r="AN25" s="14" t="s">
        <v>190</v>
      </c>
      <c r="AO25" s="14" t="s">
        <v>190</v>
      </c>
      <c r="AP25" s="14" t="s">
        <v>190</v>
      </c>
      <c r="AQ25" s="14" t="s">
        <v>190</v>
      </c>
      <c r="AR25" s="14" t="s">
        <v>190</v>
      </c>
      <c r="AS25" s="14" t="s">
        <v>190</v>
      </c>
      <c r="AT25" s="14" t="s">
        <v>190</v>
      </c>
      <c r="AU25" s="14" t="s">
        <v>190</v>
      </c>
      <c r="AV25" s="14" t="s">
        <v>190</v>
      </c>
      <c r="AW25" s="14" t="s">
        <v>190</v>
      </c>
      <c r="AX25" s="14" t="s">
        <v>190</v>
      </c>
      <c r="AY25" s="14" t="s">
        <v>190</v>
      </c>
      <c r="AZ25" s="14" t="s">
        <v>190</v>
      </c>
      <c r="BA25" s="14" t="s">
        <v>190</v>
      </c>
      <c r="BB25" s="14" t="s">
        <v>190</v>
      </c>
      <c r="BD25" s="19"/>
    </row>
    <row r="26" spans="1:56" x14ac:dyDescent="0.25">
      <c r="A26" s="21" t="s">
        <v>191</v>
      </c>
      <c r="B26" s="20" t="s">
        <v>192</v>
      </c>
      <c r="C26" s="20" t="s">
        <v>193</v>
      </c>
      <c r="D26" s="20" t="s">
        <v>194</v>
      </c>
      <c r="E26" s="14" t="s">
        <v>195</v>
      </c>
      <c r="F26" s="14" t="s">
        <v>195</v>
      </c>
      <c r="G26" s="14" t="s">
        <v>195</v>
      </c>
      <c r="H26" s="14" t="s">
        <v>195</v>
      </c>
      <c r="I26" s="14" t="s">
        <v>195</v>
      </c>
      <c r="J26" s="14" t="s">
        <v>195</v>
      </c>
      <c r="K26" s="14" t="s">
        <v>195</v>
      </c>
      <c r="L26" s="14" t="s">
        <v>195</v>
      </c>
      <c r="M26" s="14" t="s">
        <v>195</v>
      </c>
      <c r="N26" s="14" t="s">
        <v>195</v>
      </c>
      <c r="O26" s="14" t="s">
        <v>195</v>
      </c>
      <c r="P26" s="14" t="s">
        <v>195</v>
      </c>
      <c r="Q26" s="14" t="s">
        <v>195</v>
      </c>
      <c r="R26" s="14" t="s">
        <v>195</v>
      </c>
      <c r="S26" s="14" t="s">
        <v>195</v>
      </c>
      <c r="T26" s="14" t="s">
        <v>195</v>
      </c>
      <c r="U26" s="14" t="s">
        <v>195</v>
      </c>
      <c r="V26" s="14" t="s">
        <v>195</v>
      </c>
      <c r="W26" s="14" t="s">
        <v>195</v>
      </c>
      <c r="X26" s="14" t="s">
        <v>195</v>
      </c>
      <c r="Y26" s="14" t="s">
        <v>195</v>
      </c>
      <c r="Z26" s="14" t="s">
        <v>195</v>
      </c>
      <c r="AA26" s="14" t="s">
        <v>195</v>
      </c>
      <c r="AB26" s="14" t="s">
        <v>195</v>
      </c>
      <c r="AC26" s="14" t="s">
        <v>195</v>
      </c>
      <c r="AD26" s="14" t="s">
        <v>195</v>
      </c>
      <c r="AE26" s="14" t="s">
        <v>195</v>
      </c>
      <c r="AF26" s="14" t="s">
        <v>195</v>
      </c>
      <c r="AG26" s="14" t="s">
        <v>195</v>
      </c>
      <c r="AH26" s="14" t="s">
        <v>195</v>
      </c>
      <c r="AI26" s="14" t="s">
        <v>195</v>
      </c>
      <c r="AJ26" s="14" t="s">
        <v>195</v>
      </c>
      <c r="AK26" s="14" t="s">
        <v>195</v>
      </c>
      <c r="AL26" s="14" t="s">
        <v>195</v>
      </c>
      <c r="AM26" s="14" t="s">
        <v>195</v>
      </c>
      <c r="AN26" s="14" t="s">
        <v>195</v>
      </c>
      <c r="AO26" s="14" t="s">
        <v>195</v>
      </c>
      <c r="AP26" s="14" t="s">
        <v>195</v>
      </c>
      <c r="AQ26" s="14" t="s">
        <v>195</v>
      </c>
      <c r="AR26" s="14" t="s">
        <v>195</v>
      </c>
      <c r="AS26" s="14" t="s">
        <v>195</v>
      </c>
      <c r="AT26" s="14" t="s">
        <v>195</v>
      </c>
      <c r="AU26" s="14" t="s">
        <v>195</v>
      </c>
      <c r="AV26" s="14" t="s">
        <v>195</v>
      </c>
      <c r="AW26" s="14" t="s">
        <v>195</v>
      </c>
      <c r="AX26" s="14" t="s">
        <v>195</v>
      </c>
      <c r="AY26" s="14" t="s">
        <v>195</v>
      </c>
      <c r="AZ26" s="14" t="s">
        <v>195</v>
      </c>
      <c r="BA26" s="14" t="s">
        <v>195</v>
      </c>
      <c r="BB26" s="14" t="s">
        <v>195</v>
      </c>
      <c r="BD26" s="19"/>
    </row>
    <row r="27" spans="1:56" x14ac:dyDescent="0.25">
      <c r="A27" s="20" t="s">
        <v>196</v>
      </c>
      <c r="B27" s="20"/>
      <c r="C27" s="20" t="s">
        <v>155</v>
      </c>
      <c r="D27" s="20"/>
      <c r="E27" s="14" t="s">
        <v>197</v>
      </c>
      <c r="F27" s="14" t="s">
        <v>197</v>
      </c>
      <c r="G27" s="14" t="s">
        <v>197</v>
      </c>
      <c r="H27" s="14" t="s">
        <v>197</v>
      </c>
      <c r="I27" s="14" t="s">
        <v>197</v>
      </c>
      <c r="J27" s="14" t="s">
        <v>197</v>
      </c>
      <c r="K27" s="14" t="s">
        <v>197</v>
      </c>
      <c r="L27" s="14" t="s">
        <v>197</v>
      </c>
      <c r="M27" s="14" t="s">
        <v>197</v>
      </c>
      <c r="N27" s="14" t="s">
        <v>197</v>
      </c>
      <c r="O27" s="14" t="s">
        <v>197</v>
      </c>
      <c r="P27" s="14" t="s">
        <v>197</v>
      </c>
      <c r="Q27" s="14" t="s">
        <v>197</v>
      </c>
      <c r="R27" s="14" t="s">
        <v>197</v>
      </c>
      <c r="S27" s="14" t="s">
        <v>197</v>
      </c>
      <c r="T27" s="14" t="s">
        <v>197</v>
      </c>
      <c r="U27" s="14" t="s">
        <v>197</v>
      </c>
      <c r="V27" s="14" t="s">
        <v>197</v>
      </c>
      <c r="W27" s="14" t="s">
        <v>197</v>
      </c>
      <c r="X27" s="14" t="s">
        <v>197</v>
      </c>
      <c r="Y27" s="14" t="s">
        <v>197</v>
      </c>
      <c r="Z27" s="14" t="s">
        <v>197</v>
      </c>
      <c r="AA27" s="14" t="s">
        <v>197</v>
      </c>
      <c r="AB27" s="14" t="s">
        <v>197</v>
      </c>
      <c r="AC27" s="14" t="s">
        <v>197</v>
      </c>
      <c r="AD27" s="14" t="s">
        <v>197</v>
      </c>
      <c r="AE27" s="14" t="s">
        <v>197</v>
      </c>
      <c r="AF27" s="14" t="s">
        <v>197</v>
      </c>
      <c r="AG27" s="14" t="s">
        <v>197</v>
      </c>
      <c r="AH27" s="14" t="s">
        <v>197</v>
      </c>
      <c r="AI27" s="14" t="s">
        <v>197</v>
      </c>
      <c r="AJ27" s="14" t="s">
        <v>197</v>
      </c>
      <c r="AK27" s="14" t="s">
        <v>197</v>
      </c>
      <c r="AL27" s="14" t="s">
        <v>197</v>
      </c>
      <c r="AM27" s="14" t="s">
        <v>197</v>
      </c>
      <c r="AN27" s="14" t="s">
        <v>197</v>
      </c>
      <c r="AO27" s="14" t="s">
        <v>197</v>
      </c>
      <c r="AP27" s="14" t="s">
        <v>197</v>
      </c>
      <c r="AQ27" s="14" t="s">
        <v>197</v>
      </c>
      <c r="AR27" s="14" t="s">
        <v>197</v>
      </c>
      <c r="AS27" s="14" t="s">
        <v>197</v>
      </c>
      <c r="AT27" s="14" t="s">
        <v>197</v>
      </c>
      <c r="AU27" s="14" t="s">
        <v>197</v>
      </c>
      <c r="AV27" s="14" t="s">
        <v>197</v>
      </c>
      <c r="AW27" s="14" t="s">
        <v>197</v>
      </c>
      <c r="AX27" s="14" t="s">
        <v>197</v>
      </c>
      <c r="AY27" s="14" t="s">
        <v>197</v>
      </c>
      <c r="AZ27" s="14" t="s">
        <v>197</v>
      </c>
      <c r="BA27" s="14" t="s">
        <v>197</v>
      </c>
      <c r="BB27" s="14" t="s">
        <v>197</v>
      </c>
      <c r="BD27" s="19"/>
    </row>
    <row r="28" spans="1:56" x14ac:dyDescent="0.25">
      <c r="A28" s="20" t="s">
        <v>198</v>
      </c>
      <c r="B28" s="20"/>
      <c r="C28" s="20" t="s">
        <v>155</v>
      </c>
      <c r="D28" s="20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D28" s="19"/>
    </row>
    <row r="29" spans="1:56" x14ac:dyDescent="0.25">
      <c r="A29" s="20" t="s">
        <v>199</v>
      </c>
      <c r="B29" s="20" t="s">
        <v>200</v>
      </c>
      <c r="C29" s="20" t="s">
        <v>155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 t="s">
        <v>203</v>
      </c>
      <c r="C30" s="20" t="s">
        <v>155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204</v>
      </c>
      <c r="B31" s="20" t="s">
        <v>205</v>
      </c>
      <c r="C31" s="20" t="s">
        <v>155</v>
      </c>
      <c r="D31" s="20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D31" s="19"/>
    </row>
    <row r="32" spans="1:56" x14ac:dyDescent="0.25">
      <c r="A32" s="20" t="s">
        <v>206</v>
      </c>
      <c r="B32" s="20" t="s">
        <v>205</v>
      </c>
      <c r="C32" s="20" t="s">
        <v>155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207</v>
      </c>
      <c r="B33" s="20" t="s">
        <v>205</v>
      </c>
      <c r="C33" s="20" t="s">
        <v>155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208</v>
      </c>
      <c r="B34" s="20" t="s">
        <v>205</v>
      </c>
      <c r="C34" s="20" t="s">
        <v>155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209</v>
      </c>
      <c r="B35" s="20" t="s">
        <v>205</v>
      </c>
      <c r="C35" s="20" t="s">
        <v>155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210</v>
      </c>
      <c r="B36" s="20" t="s">
        <v>205</v>
      </c>
      <c r="C36" s="20" t="s">
        <v>155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211</v>
      </c>
      <c r="B37" s="20" t="s">
        <v>205</v>
      </c>
      <c r="C37" s="20" t="s">
        <v>155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212</v>
      </c>
      <c r="B38" s="20" t="s">
        <v>205</v>
      </c>
      <c r="C38" s="20" t="s">
        <v>155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213</v>
      </c>
      <c r="B39" s="20" t="s">
        <v>205</v>
      </c>
      <c r="C39" s="20" t="s">
        <v>155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214</v>
      </c>
      <c r="B40" s="20" t="s">
        <v>205</v>
      </c>
      <c r="C40" s="20" t="s">
        <v>155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14" t="s">
        <v>215</v>
      </c>
      <c r="B41" s="14"/>
      <c r="C41" s="20" t="s">
        <v>155</v>
      </c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15" t="s">
        <v>216</v>
      </c>
      <c r="C42" s="20" t="s">
        <v>155</v>
      </c>
      <c r="E42" s="15" t="s">
        <v>217</v>
      </c>
      <c r="F42" s="15" t="s">
        <v>217</v>
      </c>
      <c r="G42" s="15" t="s">
        <v>217</v>
      </c>
      <c r="H42" s="15" t="s">
        <v>217</v>
      </c>
      <c r="I42" s="15" t="s">
        <v>217</v>
      </c>
      <c r="J42" s="15" t="s">
        <v>217</v>
      </c>
      <c r="K42" s="15" t="s">
        <v>217</v>
      </c>
      <c r="L42" s="15" t="s">
        <v>217</v>
      </c>
      <c r="M42" s="15" t="s">
        <v>217</v>
      </c>
      <c r="N42" s="15" t="s">
        <v>217</v>
      </c>
      <c r="O42" s="15" t="s">
        <v>217</v>
      </c>
      <c r="P42" s="15" t="s">
        <v>217</v>
      </c>
      <c r="Q42" s="15" t="s">
        <v>217</v>
      </c>
      <c r="R42" s="15" t="s">
        <v>217</v>
      </c>
      <c r="S42" s="15" t="s">
        <v>217</v>
      </c>
      <c r="T42" s="15" t="s">
        <v>217</v>
      </c>
      <c r="U42" s="15" t="s">
        <v>217</v>
      </c>
      <c r="V42" s="15" t="s">
        <v>217</v>
      </c>
      <c r="W42" s="15" t="s">
        <v>217</v>
      </c>
      <c r="X42" s="15" t="s">
        <v>217</v>
      </c>
      <c r="Y42" s="15" t="s">
        <v>217</v>
      </c>
      <c r="Z42" s="15" t="s">
        <v>217</v>
      </c>
      <c r="AA42" s="15" t="s">
        <v>217</v>
      </c>
      <c r="AB42" s="15" t="s">
        <v>217</v>
      </c>
      <c r="AC42" s="15" t="s">
        <v>217</v>
      </c>
      <c r="AD42" s="15" t="s">
        <v>217</v>
      </c>
      <c r="AE42" s="15" t="s">
        <v>217</v>
      </c>
      <c r="AF42" s="15" t="s">
        <v>217</v>
      </c>
      <c r="AG42" s="15" t="s">
        <v>217</v>
      </c>
      <c r="AH42" s="15" t="s">
        <v>217</v>
      </c>
      <c r="AI42" s="15" t="s">
        <v>217</v>
      </c>
      <c r="AJ42" s="15" t="s">
        <v>217</v>
      </c>
      <c r="AK42" s="15" t="s">
        <v>217</v>
      </c>
      <c r="AL42" s="15" t="s">
        <v>217</v>
      </c>
      <c r="AM42" s="15" t="s">
        <v>217</v>
      </c>
      <c r="AN42" s="15" t="s">
        <v>217</v>
      </c>
      <c r="AO42" s="15" t="s">
        <v>217</v>
      </c>
      <c r="AP42" s="15" t="s">
        <v>217</v>
      </c>
      <c r="AQ42" s="15" t="s">
        <v>217</v>
      </c>
      <c r="AR42" s="15" t="s">
        <v>217</v>
      </c>
      <c r="AS42" s="15" t="s">
        <v>217</v>
      </c>
      <c r="AT42" s="15" t="s">
        <v>217</v>
      </c>
      <c r="AU42" s="15" t="s">
        <v>217</v>
      </c>
      <c r="AV42" s="15" t="s">
        <v>217</v>
      </c>
      <c r="AW42" s="15" t="s">
        <v>217</v>
      </c>
      <c r="AX42" s="15" t="s">
        <v>217</v>
      </c>
      <c r="AY42" s="15" t="s">
        <v>217</v>
      </c>
      <c r="AZ42" s="15" t="s">
        <v>217</v>
      </c>
      <c r="BA42" s="15" t="s">
        <v>217</v>
      </c>
      <c r="BB42" s="15" t="s">
        <v>217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abSelected="1" topLeftCell="B1" zoomScaleNormal="100" workbookViewId="0">
      <selection activeCell="K14" sqref="K14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218</v>
      </c>
      <c r="B1" s="28" t="s">
        <v>219</v>
      </c>
      <c r="C1" s="28" t="s">
        <v>263</v>
      </c>
      <c r="D1" s="28" t="s">
        <v>264</v>
      </c>
      <c r="E1" s="28" t="s">
        <v>265</v>
      </c>
      <c r="F1" s="28" t="s">
        <v>220</v>
      </c>
      <c r="G1" s="32" t="s">
        <v>235</v>
      </c>
      <c r="H1" s="28" t="s">
        <v>236</v>
      </c>
      <c r="I1" s="28" t="s">
        <v>221</v>
      </c>
      <c r="J1" s="28" t="s">
        <v>222</v>
      </c>
      <c r="K1" s="28" t="s">
        <v>223</v>
      </c>
      <c r="L1" s="28" t="s">
        <v>237</v>
      </c>
      <c r="M1" s="28" t="s">
        <v>238</v>
      </c>
      <c r="N1" s="28" t="s">
        <v>239</v>
      </c>
      <c r="O1" s="28" t="s">
        <v>266</v>
      </c>
      <c r="P1" s="28" t="s">
        <v>267</v>
      </c>
      <c r="Q1" s="28" t="s">
        <v>240</v>
      </c>
      <c r="R1" s="28" t="s">
        <v>224</v>
      </c>
      <c r="S1" s="28" t="s">
        <v>225</v>
      </c>
      <c r="T1" s="28" t="s">
        <v>226</v>
      </c>
      <c r="U1" s="28" t="s">
        <v>227</v>
      </c>
      <c r="V1" s="28" t="s">
        <v>182</v>
      </c>
      <c r="W1" s="28" t="s">
        <v>189</v>
      </c>
      <c r="X1" s="28" t="s">
        <v>198</v>
      </c>
      <c r="Y1" s="28" t="s">
        <v>268</v>
      </c>
      <c r="Z1" s="28" t="s">
        <v>228</v>
      </c>
      <c r="AA1" s="28" t="s">
        <v>229</v>
      </c>
      <c r="AB1" s="28" t="s">
        <v>230</v>
      </c>
      <c r="AC1" s="28" t="s">
        <v>254</v>
      </c>
      <c r="AD1" s="28" t="s">
        <v>243</v>
      </c>
      <c r="AE1" s="28" t="s">
        <v>196</v>
      </c>
      <c r="AF1" s="28" t="s">
        <v>166</v>
      </c>
      <c r="AG1" s="28" t="s">
        <v>168</v>
      </c>
      <c r="AH1" s="28" t="s">
        <v>241</v>
      </c>
      <c r="AI1" s="28" t="s">
        <v>231</v>
      </c>
      <c r="AJ1" s="28" t="s">
        <v>242</v>
      </c>
      <c r="AK1" s="28" t="s">
        <v>232</v>
      </c>
      <c r="AL1" s="28" t="s">
        <v>255</v>
      </c>
      <c r="AM1" s="28" t="s">
        <v>256</v>
      </c>
      <c r="AN1" s="28" t="s">
        <v>257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245</v>
      </c>
      <c r="C5" s="30"/>
      <c r="D5" s="30"/>
      <c r="E5" s="30"/>
      <c r="F5" s="31" t="s">
        <v>233</v>
      </c>
      <c r="G5" s="31" t="s">
        <v>259</v>
      </c>
      <c r="H5" s="31" t="s">
        <v>246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247</v>
      </c>
      <c r="C6" s="30"/>
      <c r="D6" s="30"/>
      <c r="E6" s="30"/>
      <c r="F6" s="31" t="s">
        <v>248</v>
      </c>
      <c r="G6" s="31" t="s">
        <v>324</v>
      </c>
      <c r="H6" s="31" t="s">
        <v>260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293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249</v>
      </c>
      <c r="C7" s="30"/>
      <c r="D7" s="30"/>
      <c r="E7" s="30"/>
      <c r="F7" s="31" t="s">
        <v>234</v>
      </c>
      <c r="G7" s="31" t="s">
        <v>261</v>
      </c>
      <c r="H7" s="31" t="s">
        <v>262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249</v>
      </c>
      <c r="C8" s="30"/>
      <c r="D8" s="30"/>
      <c r="E8" s="30"/>
      <c r="F8" s="31" t="s">
        <v>233</v>
      </c>
      <c r="G8" s="31" t="s">
        <v>285</v>
      </c>
      <c r="H8" s="31" t="s">
        <v>262</v>
      </c>
      <c r="I8" s="31"/>
      <c r="J8" s="31"/>
      <c r="K8" s="31"/>
      <c r="L8" s="31"/>
      <c r="M8" s="31"/>
      <c r="N8" s="31" t="s">
        <v>273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249</v>
      </c>
      <c r="C9" s="30"/>
      <c r="D9" s="30"/>
      <c r="E9" s="30"/>
      <c r="F9" s="31" t="s">
        <v>233</v>
      </c>
      <c r="G9" s="31" t="s">
        <v>274</v>
      </c>
      <c r="H9" s="31" t="s">
        <v>262</v>
      </c>
      <c r="I9" s="31"/>
      <c r="J9" s="31"/>
      <c r="K9" s="31"/>
      <c r="L9" s="31" t="s">
        <v>292</v>
      </c>
      <c r="M9" s="31"/>
      <c r="N9" s="31" t="s">
        <v>290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249</v>
      </c>
      <c r="C10" s="30"/>
      <c r="D10" s="30"/>
      <c r="E10" s="30"/>
      <c r="F10" s="31" t="s">
        <v>234</v>
      </c>
      <c r="G10" s="31" t="s">
        <v>274</v>
      </c>
      <c r="H10" s="31" t="s">
        <v>262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275</v>
      </c>
      <c r="AE10" s="25"/>
      <c r="AF10" s="25"/>
      <c r="AG10" s="25"/>
      <c r="AH10" s="25" t="s">
        <v>276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249</v>
      </c>
      <c r="C11" s="30"/>
      <c r="D11" s="30"/>
      <c r="E11" s="30"/>
      <c r="F11" s="31" t="s">
        <v>234</v>
      </c>
      <c r="G11" s="31" t="s">
        <v>274</v>
      </c>
      <c r="H11" s="31" t="s">
        <v>262</v>
      </c>
      <c r="I11" s="31"/>
      <c r="J11" s="31"/>
      <c r="K11" s="31"/>
      <c r="L11" s="31"/>
      <c r="M11" s="31"/>
      <c r="N11" s="31" t="s">
        <v>273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244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249</v>
      </c>
      <c r="C12" s="30"/>
      <c r="D12" s="30"/>
      <c r="E12" s="30"/>
      <c r="F12" s="31" t="s">
        <v>233</v>
      </c>
      <c r="G12" s="31" t="s">
        <v>286</v>
      </c>
      <c r="H12" s="31" t="s">
        <v>262</v>
      </c>
      <c r="I12" s="31"/>
      <c r="J12" s="31"/>
      <c r="K12" s="31"/>
      <c r="L12" s="31"/>
      <c r="M12" s="31"/>
      <c r="N12" s="31" t="s">
        <v>273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244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277</v>
      </c>
      <c r="C13" s="30"/>
      <c r="D13" s="30"/>
      <c r="E13" s="30"/>
      <c r="F13" s="31" t="s">
        <v>233</v>
      </c>
      <c r="G13" s="31" t="s">
        <v>278</v>
      </c>
      <c r="H13" s="31" t="s">
        <v>262</v>
      </c>
      <c r="I13" s="31"/>
      <c r="J13" s="31" t="s">
        <v>279</v>
      </c>
      <c r="K13" s="31" t="s">
        <v>327</v>
      </c>
      <c r="L13" s="31"/>
      <c r="M13" s="31"/>
      <c r="N13" s="31" t="s">
        <v>280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250</v>
      </c>
      <c r="C14" s="30"/>
      <c r="D14" s="30"/>
      <c r="E14" s="30"/>
      <c r="F14" s="31" t="s">
        <v>251</v>
      </c>
      <c r="G14" s="31" t="s">
        <v>252</v>
      </c>
      <c r="H14" s="31" t="s">
        <v>283</v>
      </c>
      <c r="I14" s="31"/>
      <c r="J14" s="31"/>
      <c r="K14" s="31"/>
      <c r="L14" s="31"/>
      <c r="M14" s="31"/>
      <c r="N14" s="31"/>
      <c r="O14" s="25"/>
      <c r="P14" s="31"/>
      <c r="Q14" s="31" t="s">
        <v>253</v>
      </c>
      <c r="R14" s="31" t="s">
        <v>281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250</v>
      </c>
      <c r="C15" s="30"/>
      <c r="D15" s="30"/>
      <c r="E15" s="30"/>
      <c r="F15" s="31" t="s">
        <v>251</v>
      </c>
      <c r="G15" s="31" t="s">
        <v>252</v>
      </c>
      <c r="H15" s="31" t="s">
        <v>246</v>
      </c>
      <c r="I15" s="31"/>
      <c r="J15" s="31"/>
      <c r="K15" s="31"/>
      <c r="L15" s="31"/>
      <c r="M15" s="31"/>
      <c r="N15" s="31"/>
      <c r="O15" s="25"/>
      <c r="P15" s="31"/>
      <c r="Q15" s="31" t="s">
        <v>253</v>
      </c>
      <c r="R15" s="31" t="s">
        <v>281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284</v>
      </c>
      <c r="AO15" s="26"/>
    </row>
    <row r="16" spans="1:41" x14ac:dyDescent="0.25">
      <c r="A16" s="30" t="str">
        <f t="shared" si="6"/>
        <v>Q6</v>
      </c>
      <c r="B16" s="30" t="s">
        <v>287</v>
      </c>
      <c r="C16" s="30"/>
      <c r="D16" s="30"/>
      <c r="E16" s="30"/>
      <c r="F16" s="31" t="s">
        <v>234</v>
      </c>
      <c r="G16" s="31" t="s">
        <v>288</v>
      </c>
      <c r="H16" s="31" t="s">
        <v>289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291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287</v>
      </c>
      <c r="C17" s="30"/>
      <c r="D17" s="30"/>
      <c r="E17" s="30"/>
      <c r="F17" s="31" t="s">
        <v>233</v>
      </c>
      <c r="G17" s="31" t="s">
        <v>294</v>
      </c>
      <c r="H17" s="31" t="s">
        <v>289</v>
      </c>
      <c r="I17" s="31"/>
      <c r="J17" s="31" t="s">
        <v>295</v>
      </c>
      <c r="K17" s="31" t="s">
        <v>296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297</v>
      </c>
      <c r="C18" s="30"/>
      <c r="D18" s="30"/>
      <c r="E18" s="30"/>
      <c r="F18" s="31"/>
      <c r="G18" s="31" t="s">
        <v>300</v>
      </c>
      <c r="H18" s="31" t="s">
        <v>289</v>
      </c>
      <c r="I18" s="31"/>
      <c r="J18" s="31" t="s">
        <v>298</v>
      </c>
      <c r="K18" s="31" t="s">
        <v>299</v>
      </c>
      <c r="L18" s="31"/>
      <c r="M18" s="31"/>
      <c r="N18" s="31"/>
      <c r="O18" s="25"/>
      <c r="P18" s="31"/>
      <c r="Q18" s="31"/>
      <c r="R18" s="31"/>
      <c r="S18" s="31" t="s">
        <v>304</v>
      </c>
      <c r="T18" s="31" t="s">
        <v>303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tr">
        <f t="shared" ref="A19:A25" si="8">"Q"&amp;LEFT(B19,FIND(".",B19)-1)</f>
        <v>Q9</v>
      </c>
      <c r="B19" s="30" t="s">
        <v>297</v>
      </c>
      <c r="C19" s="30"/>
      <c r="D19" s="30"/>
      <c r="E19" s="30"/>
      <c r="F19" s="31"/>
      <c r="G19" s="31" t="s">
        <v>305</v>
      </c>
      <c r="H19" s="31" t="s">
        <v>289</v>
      </c>
      <c r="I19" s="31"/>
      <c r="J19" s="31" t="s">
        <v>298</v>
      </c>
      <c r="K19" s="31" t="s">
        <v>299</v>
      </c>
      <c r="L19" s="31"/>
      <c r="M19" s="31"/>
      <c r="N19" s="31"/>
      <c r="O19" s="25"/>
      <c r="P19" s="31"/>
      <c r="Q19" s="31"/>
      <c r="R19" s="31"/>
      <c r="S19" s="31" t="s">
        <v>306</v>
      </c>
      <c r="T19" s="31" t="s">
        <v>303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tr">
        <f t="shared" si="8"/>
        <v>Q9</v>
      </c>
      <c r="B20" s="30" t="s">
        <v>297</v>
      </c>
      <c r="C20" s="30"/>
      <c r="D20" s="30"/>
      <c r="E20" s="30"/>
      <c r="F20" s="31" t="s">
        <v>233</v>
      </c>
      <c r="G20" s="31" t="s">
        <v>301</v>
      </c>
      <c r="H20" s="31" t="s">
        <v>289</v>
      </c>
      <c r="I20" s="31"/>
      <c r="J20" s="31" t="s">
        <v>298</v>
      </c>
      <c r="K20" s="31" t="s">
        <v>299</v>
      </c>
      <c r="L20" s="31"/>
      <c r="M20" s="31"/>
      <c r="N20" s="31"/>
      <c r="O20" s="25"/>
      <c r="P20" s="31"/>
      <c r="Q20" s="31"/>
      <c r="R20" s="31"/>
      <c r="S20" s="31" t="s">
        <v>302</v>
      </c>
      <c r="T20" s="31" t="s">
        <v>303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A21" s="30" t="str">
        <f t="shared" si="8"/>
        <v>QNOT CHECKED: 2</v>
      </c>
      <c r="B21" s="30" t="s">
        <v>309</v>
      </c>
      <c r="C21" s="30"/>
      <c r="D21" s="30"/>
      <c r="E21" s="30"/>
      <c r="F21" s="31" t="s">
        <v>248</v>
      </c>
      <c r="G21" s="31" t="s">
        <v>307</v>
      </c>
      <c r="H21" s="31"/>
      <c r="I21" s="31"/>
      <c r="J21" s="31"/>
      <c r="K21" s="31"/>
      <c r="L21" s="31"/>
      <c r="M21" s="31"/>
      <c r="N21" s="31"/>
      <c r="O21" s="25"/>
      <c r="P21" s="31"/>
      <c r="Q21" s="31"/>
      <c r="R21" s="31"/>
      <c r="S21" s="31" t="s">
        <v>302</v>
      </c>
      <c r="T21" s="31" t="s">
        <v>303</v>
      </c>
      <c r="U21" s="25"/>
      <c r="V21" s="25"/>
      <c r="W21" s="25"/>
      <c r="X21" s="25"/>
      <c r="Y21" s="25"/>
      <c r="Z21" s="25" t="s">
        <v>293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A22" s="30" t="str">
        <f t="shared" ref="A22" si="9">"Q"&amp;LEFT(B22,FIND(".",B22)-1)</f>
        <v>Qmulti selvar with unguelt: 2</v>
      </c>
      <c r="B22" s="30" t="s">
        <v>319</v>
      </c>
      <c r="C22" s="30"/>
      <c r="D22" s="30"/>
      <c r="E22" s="30"/>
      <c r="F22" s="31" t="s">
        <v>248</v>
      </c>
      <c r="G22" s="31" t="s">
        <v>317</v>
      </c>
      <c r="H22" s="31" t="s">
        <v>320</v>
      </c>
      <c r="I22" s="31"/>
      <c r="J22" s="31"/>
      <c r="K22" s="31"/>
      <c r="L22" s="31"/>
      <c r="M22" s="31"/>
      <c r="N22" s="31"/>
      <c r="O22" s="25"/>
      <c r="P22" s="31"/>
      <c r="Q22" s="31"/>
      <c r="R22" s="31"/>
      <c r="S22" s="31" t="s">
        <v>302</v>
      </c>
      <c r="T22" s="31" t="s">
        <v>318</v>
      </c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A23" s="30" t="str">
        <f t="shared" ref="A23" si="10">"Q"&amp;LEFT(B23,FIND(".",B23)-1)</f>
        <v>Qtrigger invalid values: 2</v>
      </c>
      <c r="B23" s="30" t="s">
        <v>321</v>
      </c>
      <c r="C23" s="30"/>
      <c r="D23" s="30"/>
      <c r="E23" s="30"/>
      <c r="F23" s="31" t="s">
        <v>248</v>
      </c>
      <c r="G23" s="31" t="s">
        <v>322</v>
      </c>
      <c r="H23" s="31" t="s">
        <v>323</v>
      </c>
      <c r="I23" s="31"/>
      <c r="J23" s="31"/>
      <c r="K23" s="31"/>
      <c r="L23" s="31"/>
      <c r="M23" s="31"/>
      <c r="N23" s="31"/>
      <c r="O23" s="25"/>
      <c r="P23" s="31"/>
      <c r="Q23" s="31"/>
      <c r="R23" s="31"/>
      <c r="S23" s="31"/>
      <c r="T23" s="31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A24" s="30" t="str">
        <f t="shared" si="8"/>
        <v>QNOT CHECKED: 5</v>
      </c>
      <c r="B24" s="30" t="s">
        <v>310</v>
      </c>
      <c r="C24" s="30"/>
      <c r="D24" s="30"/>
      <c r="E24" s="30"/>
      <c r="F24" s="31" t="s">
        <v>251</v>
      </c>
      <c r="G24" s="31" t="s">
        <v>308</v>
      </c>
      <c r="H24" s="31" t="s">
        <v>283</v>
      </c>
      <c r="I24" s="31"/>
      <c r="J24" s="31"/>
      <c r="K24" s="31"/>
      <c r="L24" s="31"/>
      <c r="M24" s="31"/>
      <c r="N24" s="31"/>
      <c r="O24" s="25"/>
      <c r="P24" s="31"/>
      <c r="Q24" s="31" t="s">
        <v>253</v>
      </c>
      <c r="R24" s="31" t="s">
        <v>281</v>
      </c>
      <c r="S24" s="31" t="s">
        <v>302</v>
      </c>
      <c r="T24" s="31" t="s">
        <v>303</v>
      </c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A25" s="30" t="str">
        <f t="shared" si="8"/>
        <v>Q7</v>
      </c>
      <c r="B25" s="30" t="s">
        <v>311</v>
      </c>
      <c r="C25" s="30"/>
      <c r="D25" s="30"/>
      <c r="E25" s="30"/>
      <c r="F25" s="31" t="s">
        <v>234</v>
      </c>
      <c r="G25" s="31" t="s">
        <v>316</v>
      </c>
      <c r="H25" s="31" t="s">
        <v>289</v>
      </c>
      <c r="I25" s="31"/>
      <c r="J25" s="31" t="s">
        <v>312</v>
      </c>
      <c r="K25" s="31" t="s">
        <v>313</v>
      </c>
      <c r="L25" s="31"/>
      <c r="M25" s="31"/>
      <c r="N25" s="31" t="s">
        <v>290</v>
      </c>
      <c r="O25" s="25"/>
      <c r="P25" s="31"/>
      <c r="Q25" s="31"/>
      <c r="R25" s="31"/>
      <c r="S25" s="31" t="s">
        <v>302</v>
      </c>
      <c r="T25" s="31" t="s">
        <v>314</v>
      </c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31" t="s">
        <v>315</v>
      </c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  <row r="675" spans="3:41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6"/>
    </row>
  </sheetData>
  <conditionalFormatting sqref="A1">
    <cfRule type="duplicateValues" dxfId="17" priority="17"/>
  </conditionalFormatting>
  <conditionalFormatting sqref="A13">
    <cfRule type="duplicateValues" dxfId="16" priority="15"/>
    <cfRule type="duplicateValues" dxfId="15" priority="16"/>
  </conditionalFormatting>
  <conditionalFormatting sqref="A14:A15 A5:A12">
    <cfRule type="duplicateValues" dxfId="14" priority="34"/>
    <cfRule type="duplicateValues" dxfId="13" priority="35"/>
  </conditionalFormatting>
  <conditionalFormatting sqref="A16:A17">
    <cfRule type="duplicateValues" dxfId="12" priority="13"/>
    <cfRule type="duplicateValues" dxfId="11" priority="14"/>
  </conditionalFormatting>
  <conditionalFormatting sqref="A18:A19">
    <cfRule type="duplicateValues" dxfId="10" priority="9"/>
    <cfRule type="duplicateValues" dxfId="9" priority="10"/>
  </conditionalFormatting>
  <conditionalFormatting sqref="A20">
    <cfRule type="duplicateValues" dxfId="8" priority="7"/>
    <cfRule type="duplicateValues" dxfId="7" priority="8"/>
  </conditionalFormatting>
  <conditionalFormatting sqref="A21:A23">
    <cfRule type="duplicateValues" dxfId="6" priority="5"/>
    <cfRule type="duplicateValues" dxfId="5" priority="6"/>
  </conditionalFormatting>
  <conditionalFormatting sqref="A24">
    <cfRule type="duplicateValues" dxfId="4" priority="3"/>
    <cfRule type="duplicateValues" dxfId="3" priority="4"/>
  </conditionalFormatting>
  <conditionalFormatting sqref="A25">
    <cfRule type="duplicateValues" dxfId="2" priority="1"/>
    <cfRule type="duplicateValues" dxfId="1" priority="2"/>
  </conditionalFormatting>
  <conditionalFormatting sqref="A26:A1048576 A2:A4">
    <cfRule type="duplicateValues" dxfId="0" priority="24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13</vt:i4>
      </vt:variant>
    </vt:vector>
  </HeadingPairs>
  <TitlesOfParts>
    <vt:vector size="16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2024-09-04T15:41:03Z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