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DA29840C-6AF9-4CD6-86DB-F24C174974F7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9" i="3" l="1"/>
  <c r="A18" i="3" l="1"/>
  <c r="A17" i="3" l="1"/>
  <c r="A9" i="3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<sst xmlns="http://schemas.openxmlformats.org/spreadsheetml/2006/main" count="794" uniqueCount="312">
  <si>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</si>
  <si>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</si>
  <si>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</si>
  <si>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</si>
  <si>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</si>
  <si>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</si>
  <si>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</si>
  <si>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</si>
  <si>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</si>
  <si>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</si>
  <si>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</si>
  <si>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</si>
  <si>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</si>
  <si>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</si>
  <si>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</si>
  <si>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</si>
  <si>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</si>
  <si>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</si>
  <si>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</si>
  <si>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</si>
  <si>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</si>
  <si>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</si>
  <si>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</si>
  <si>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</si>
  <si>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</si>
  <si>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</si>
  <si>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</si>
  <si>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</si>
  <si>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</si>
  <si>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</si>
  <si>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</si>
  <si>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</si>
  <si>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</si>
  <si>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</si>
  <si>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</si>
  <si>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</si>
  <si>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</si>
  <si>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</si>
  <si>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</si>
  <si>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</si>
  <si>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</si>
  <si>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</si>
  <si>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</si>
  <si>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</si>
  <si>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</si>
  <si>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</si>
  <si>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</si>
  <si>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</si>
  <si>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</si>
  <si>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</si>
  <si>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</si>
  <si>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</si>
  <si>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</si>
  <si>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</si>
  <si>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</si>
  <si>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</si>
  <si>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</si>
  <si>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</si>
  <si>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</si>
  <si>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</si>
  <si>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</si>
  <si>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</si>
  <si>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</si>
  <si>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</si>
  <si>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</si>
  <si>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</si>
  <si>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</si>
  <si>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</si>
  <si>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</si>
  <si>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</si>
  <si>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</si>
  <si>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</si>
  <si>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</si>
  <si>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</si>
  <si>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</si>
  <si>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</si>
  <si>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</si>
  <si>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</si>
  <si>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</si>
  <si>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</si>
  <si>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</si>
  <si>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</si>
  <si>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</si>
  <si>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</si>
  <si>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</si>
  <si>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</si>
  <si>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</si>
  <si>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</si>
  <si>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</si>
  <si>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</si>
  <si>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</si>
  <si>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</si>
  <si>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</si>
  <si>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</si>
  <si>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</si>
  <si>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</si>
  <si>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</si>
  <si>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</si>
  <si>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</si>
  <si>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</si>
  <si>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</si>
  <si>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</si>
  <si>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</si>
  <si>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</si>
  <si>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</si>
  <si>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</si>
  <si>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</si>
  <si>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</si>
  <si>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</si>
  <si>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</si>
  <si>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</si>
  <si>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</si>
  <si>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</si>
  <si>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</si>
  <si>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</si>
  <si>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</si>
  <si>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</si>
  <si>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</si>
  <si>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</si>
  <si>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</si>
  <si>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</si>
  <si>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</si>
  <si>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</si>
  <si>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</si>
  <si>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</si>
  <si>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</si>
  <si>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</si>
  <si>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</si>
  <si>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</si>
  <si>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</si>
  <si>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</si>
  <si>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</si>
  <si>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</si>
  <si>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</si>
  <si>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</si>
  <si>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</si>
  <si>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</si>
  <si>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</si>
  <si>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</si>
  <si>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</si>
  <si>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</si>
  <si>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</si>
  <si>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</si>
  <si>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</si>
  <si>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</si>
  <si>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</si>
  <si>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</si>
  <si>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</si>
  <si>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</si>
  <si>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</si>
  <si>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</si>
  <si>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</si>
  <si>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</si>
  <si>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</si>
  <si>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</si>
  <si>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</si>
  <si>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</si>
  <si>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</si>
  <si>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</si>
  <si>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</si>
  <si>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</si>
  <si>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</si>
  <si>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</si>
  <si>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</si>
  <si>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</si>
  <si>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</si>
  <si>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</si>
  <si>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</si>
  <si>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</si>
  <si>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</si>
  <si>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</si>
  <si>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</si>
  <si>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</si>
  <si>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</si>
  <si>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</si>
  <si>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</si>
  <si>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</si>
  <si>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</si>
  <si>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</si>
  <si>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</si>
  <si>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</si>
  <si>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</si>
  <si>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</si>
  <si>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</si>
  <si>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</si>
  <si>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</si>
  <si>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</si>
  <si>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</si>
  <si>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</si>
  <si>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</si>
  <si>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</si>
  <si>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</si>
  <si>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</si>
  <si>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</si>
  <si>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</si>
  <si>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</si>
  <si>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</si>
  <si>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</si>
  <si>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</si>
  <si>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</si>
  <si>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</si>
  <si>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</si>
  <si>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</si>
  <si>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</si>
  <si>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</si>
  <si>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</si>
  <si>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</si>
  <si>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</si>
  <si>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</si>
  <si>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</si>
  <si>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</si>
  <si>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</si>
  <si>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</si>
  <si>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</si>
  <si>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</si>
  <si>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</si>
  <si>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</si>
  <si>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</si>
  <si>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</si>
  <si>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</si>
  <si>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</si>
  <si>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</si>
  <si>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</si>
  <si>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</si>
  <si>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</si>
  <si>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</si>
  <si>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</si>
  <si>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</si>
  <si>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</si>
  <si>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</si>
  <si>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</si>
  <si>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</si>
  <si>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</si>
  <si>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</si>
  <si>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</si>
  <si>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</si>
  <si>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</si>
  <si>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</si>
  <si>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</si>
  <si>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</si>
  <si>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</si>
  <si>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</si>
  <si>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</si>
  <si>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</si>
  <si>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</si>
  <si>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</si>
  <si>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</si>
  <si>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</si>
  <si>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</si>
  <si>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</si>
  <si>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</si>
  <si>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</si>
  <si>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</si>
  <si>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</si>
  <si>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</si>
  <si>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</si>
  <si>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</si>
  <si>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</si>
  <si>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</si>
  <si>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</si>
  <si>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</si>
  <si>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</si>
  <si>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</si>
  <si>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</si>
  <si>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</si>
  <si>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</si>
  <si>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</si>
  <si>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</si>
  <si>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</si>
  <si>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</si>
  <si>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</si>
  <si>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</si>
  <si>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</si>
  <si>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</si>
  <si>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</si>
  <si>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</si>
  <si>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</si>
  <si>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</si>
  <si>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</si>
  <si>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</si>
  <si>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</si>
  <si>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</si>
  <si>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</si>
  <si>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</si>
  <si>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</si>
  <si>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</si>
  <si>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</si>
  <si>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</si>
  <si>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</si>
  <si>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</si>
  <si>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</si>
  <si>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</si>
  <si>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</si>
  <si>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</si>
  <si>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</si>
  <si>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</si>
  <si>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</si>
  <si>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</si>
  <si>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</si>
  <si>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</si>
  <si>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</si>
  <si>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</si>
  <si>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</si>
  <si>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</si>
  <si>
    <t>9. Würden Sie das Tabellenbandtool weiterempfehlen?' 'DC#SELVALLAB</t>
  </si>
  <si>
    <t>(0 THRU 6=3) (7,8=2) (9,10=1) {[1]-[3]='NPS'}</t>
  </si>
  <si>
    <t>1 'Promoters' 2 'Indifferent' 3 'Detractors'</t>
  </si>
  <si>
    <t>q91</t>
  </si>
  <si>
    <t>1 2 3-6:Sonstige</t>
  </si>
  <si>
    <t>sel0</t>
  </si>
  <si>
    <t>q92</t>
  </si>
  <si>
    <t>sel1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</si>
</sst>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35" sqref="B35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289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13" priority="5" operator="greaterThan">
      <formula>0</formula>
    </cfRule>
  </conditionalFormatting>
  <conditionalFormatting sqref="H5">
    <cfRule type="expression" dxfId="12" priority="2">
      <formula>H5&lt;H3</formula>
    </cfRule>
  </conditionalFormatting>
  <conditionalFormatting sqref="H7">
    <cfRule type="expression" dxfId="11" priority="3">
      <formula>H7&lt;H5</formula>
    </cfRule>
  </conditionalFormatting>
  <conditionalFormatting sqref="H9">
    <cfRule type="expression" dxfId="10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3"/>
  <sheetViews>
    <sheetView tabSelected="1" zoomScaleNormal="100" workbookViewId="0">
      <selection activeCell="S20" sqref="S20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300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237</v>
      </c>
      <c r="G8" s="31" t="s">
        <v>292</v>
      </c>
      <c r="H8" s="31" t="s">
        <v>268</v>
      </c>
      <c r="I8" s="31"/>
      <c r="J8" s="31"/>
      <c r="K8" s="31"/>
      <c r="L8" s="31"/>
      <c r="M8" s="31"/>
      <c r="N8" s="31" t="s">
        <v>279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254</v>
      </c>
      <c r="C9" s="30"/>
      <c r="D9" s="30"/>
      <c r="E9" s="30"/>
      <c r="F9" s="31" t="s">
        <v>237</v>
      </c>
      <c r="G9" s="31" t="s">
        <v>292</v>
      </c>
      <c r="H9" s="31" t="s">
        <v>268</v>
      </c>
      <c r="I9" s="31"/>
      <c r="J9" s="31"/>
      <c r="K9" s="31"/>
      <c r="L9" s="31" t="s">
        <v>299</v>
      </c>
      <c r="M9" s="31"/>
      <c r="N9" s="31" t="s">
        <v>297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254</v>
      </c>
      <c r="C10" s="30"/>
      <c r="D10" s="30"/>
      <c r="E10" s="30"/>
      <c r="F10" s="31" t="s">
        <v>238</v>
      </c>
      <c r="G10" s="31" t="s">
        <v>280</v>
      </c>
      <c r="H10" s="31" t="s">
        <v>268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281</v>
      </c>
      <c r="AE10" s="25"/>
      <c r="AF10" s="25"/>
      <c r="AG10" s="25"/>
      <c r="AH10" s="25" t="s">
        <v>282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254</v>
      </c>
      <c r="C11" s="30"/>
      <c r="D11" s="30"/>
      <c r="E11" s="30"/>
      <c r="F11" s="31" t="s">
        <v>238</v>
      </c>
      <c r="G11" s="31" t="s">
        <v>280</v>
      </c>
      <c r="H11" s="31" t="s">
        <v>268</v>
      </c>
      <c r="I11" s="31"/>
      <c r="J11" s="31"/>
      <c r="K11" s="31"/>
      <c r="L11" s="31"/>
      <c r="M11" s="31"/>
      <c r="N11" s="31" t="s">
        <v>279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249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254</v>
      </c>
      <c r="C12" s="30"/>
      <c r="D12" s="30"/>
      <c r="E12" s="30"/>
      <c r="F12" s="31" t="s">
        <v>237</v>
      </c>
      <c r="G12" s="31" t="s">
        <v>293</v>
      </c>
      <c r="H12" s="31" t="s">
        <v>268</v>
      </c>
      <c r="I12" s="31"/>
      <c r="J12" s="31"/>
      <c r="K12" s="31"/>
      <c r="L12" s="31"/>
      <c r="M12" s="31"/>
      <c r="N12" s="31" t="s">
        <v>279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249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283</v>
      </c>
      <c r="C13" s="30"/>
      <c r="D13" s="30"/>
      <c r="E13" s="30"/>
      <c r="F13" s="31" t="s">
        <v>237</v>
      </c>
      <c r="G13" s="31" t="s">
        <v>284</v>
      </c>
      <c r="H13" s="31" t="s">
        <v>268</v>
      </c>
      <c r="I13" s="31"/>
      <c r="J13" s="31" t="s">
        <v>285</v>
      </c>
      <c r="K13" s="31" t="s">
        <v>286</v>
      </c>
      <c r="L13" s="31"/>
      <c r="M13" s="31"/>
      <c r="N13" s="31" t="s">
        <v>287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255</v>
      </c>
      <c r="C14" s="30"/>
      <c r="D14" s="30"/>
      <c r="E14" s="30"/>
      <c r="F14" s="31" t="s">
        <v>256</v>
      </c>
      <c r="G14" s="31" t="s">
        <v>257</v>
      </c>
      <c r="H14" s="31" t="s">
        <v>290</v>
      </c>
      <c r="I14" s="31"/>
      <c r="J14" s="31"/>
      <c r="K14" s="31"/>
      <c r="L14" s="31"/>
      <c r="M14" s="31"/>
      <c r="N14" s="31"/>
      <c r="O14" s="25"/>
      <c r="P14" s="31"/>
      <c r="Q14" s="31" t="s">
        <v>258</v>
      </c>
      <c r="R14" s="31" t="s">
        <v>288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255</v>
      </c>
      <c r="C15" s="30"/>
      <c r="D15" s="30"/>
      <c r="E15" s="30"/>
      <c r="F15" s="31" t="s">
        <v>256</v>
      </c>
      <c r="G15" s="31" t="s">
        <v>257</v>
      </c>
      <c r="H15" s="31" t="s">
        <v>251</v>
      </c>
      <c r="I15" s="31"/>
      <c r="J15" s="31"/>
      <c r="K15" s="31"/>
      <c r="L15" s="31"/>
      <c r="M15" s="31"/>
      <c r="N15" s="31"/>
      <c r="O15" s="25"/>
      <c r="P15" s="31"/>
      <c r="Q15" s="31" t="s">
        <v>258</v>
      </c>
      <c r="R15" s="31" t="s">
        <v>288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291</v>
      </c>
      <c r="AO15" s="26"/>
    </row>
    <row r="16" spans="1:41" x14ac:dyDescent="0.25">
      <c r="A16" s="30" t="str">
        <f t="shared" si="6"/>
        <v>Q6</v>
      </c>
      <c r="B16" s="30" t="s">
        <v>294</v>
      </c>
      <c r="C16" s="30"/>
      <c r="D16" s="30"/>
      <c r="E16" s="30"/>
      <c r="F16" s="31" t="s">
        <v>238</v>
      </c>
      <c r="G16" s="31" t="s">
        <v>295</v>
      </c>
      <c r="H16" s="31" t="s">
        <v>296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298</v>
      </c>
      <c r="AM16" s="25"/>
      <c r="AN16" s="25"/>
      <c r="AO16" s="26"/>
    </row>
    <row r="17" spans="1:41" x14ac:dyDescent="0.25">
      <c r="A17" s="30" t="str">
        <f t="shared" ref="A17:A18" si="7">"Q"&amp;LEFT(B17,FIND(".",B17)-1)</f>
        <v>Q6</v>
      </c>
      <c r="B17" s="30" t="s">
        <v>294</v>
      </c>
      <c r="C17" s="30"/>
      <c r="D17" s="30"/>
      <c r="E17" s="30"/>
      <c r="F17" s="31" t="s">
        <v>237</v>
      </c>
      <c r="G17" s="31" t="s">
        <v>301</v>
      </c>
      <c r="H17" s="31" t="s">
        <v>296</v>
      </c>
      <c r="I17" s="31"/>
      <c r="J17" s="31" t="s">
        <v>302</v>
      </c>
      <c r="K17" s="31" t="s">
        <v>303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tr">
        <f t="shared" si="7"/>
        <v>Q9</v>
      </c>
      <c r="B18" s="30" t="s">
        <v>304</v>
      </c>
      <c r="C18" s="30"/>
      <c r="D18" s="30"/>
      <c r="E18" s="30"/>
      <c r="F18" s="31" t="s">
        <v>237</v>
      </c>
      <c r="G18" s="31" t="s">
        <v>307</v>
      </c>
      <c r="H18" s="31" t="s">
        <v>296</v>
      </c>
      <c r="I18" s="31"/>
      <c r="J18" s="31" t="s">
        <v>305</v>
      </c>
      <c r="K18" s="31" t="s">
        <v>306</v>
      </c>
      <c r="L18" s="31"/>
      <c r="M18" s="31"/>
      <c r="N18" s="31"/>
      <c r="O18" s="25"/>
      <c r="P18" s="31"/>
      <c r="Q18" s="31"/>
      <c r="R18" s="31"/>
      <c r="S18" s="31" t="s">
        <v>309</v>
      </c>
      <c r="T18" s="31" t="s">
        <v>308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A19" s="30" t="str">
        <f t="shared" ref="A19" si="8">"Q"&amp;LEFT(B19,FIND(".",B19)-1)</f>
        <v>Q9</v>
      </c>
      <c r="B19" s="30" t="s">
        <v>304</v>
      </c>
      <c r="C19" s="30"/>
      <c r="D19" s="30"/>
      <c r="E19" s="30"/>
      <c r="F19" s="31" t="s">
        <v>237</v>
      </c>
      <c r="G19" s="31" t="s">
        <v>310</v>
      </c>
      <c r="H19" s="31" t="s">
        <v>296</v>
      </c>
      <c r="I19" s="31"/>
      <c r="J19" s="31" t="s">
        <v>305</v>
      </c>
      <c r="K19" s="31" t="s">
        <v>306</v>
      </c>
      <c r="L19" s="31"/>
      <c r="M19" s="31"/>
      <c r="N19" s="31"/>
      <c r="O19" s="25"/>
      <c r="P19" s="31"/>
      <c r="Q19" s="31"/>
      <c r="R19" s="31"/>
      <c r="S19" s="31" t="s">
        <v>311</v>
      </c>
      <c r="T19" s="31" t="s">
        <v>308</v>
      </c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</sheetData>
  <conditionalFormatting sqref="A1">
    <cfRule type="duplicateValues" dxfId="9" priority="9"/>
  </conditionalFormatting>
  <conditionalFormatting sqref="A13">
    <cfRule type="duplicateValues" dxfId="8" priority="7"/>
    <cfRule type="duplicateValues" dxfId="7" priority="8"/>
  </conditionalFormatting>
  <conditionalFormatting sqref="A14:A15 A5:A12">
    <cfRule type="duplicateValues" dxfId="6" priority="26"/>
    <cfRule type="duplicateValues" dxfId="5" priority="27"/>
  </conditionalFormatting>
  <conditionalFormatting sqref="A16:A17">
    <cfRule type="duplicateValues" dxfId="4" priority="5"/>
    <cfRule type="duplicateValues" dxfId="3" priority="6"/>
  </conditionalFormatting>
  <conditionalFormatting sqref="A20:A1048576 A2:A4">
    <cfRule type="duplicateValues" dxfId="2" priority="16"/>
  </conditionalFormatting>
  <conditionalFormatting sqref="A18:A19">
    <cfRule type="duplicateValues" dxfId="1" priority="2"/>
  </conditionalFormatting>
  <conditionalFormatting sqref="A18:A19">
    <cfRule type="duplicateValues" dxfId="0" priority="1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12</vt:i4>
      </vt:variant>
    </vt:vector>
  </HeadingPairs>
  <TitlesOfParts>
    <vt:vector size="15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2023-09-05T15:37:41Z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