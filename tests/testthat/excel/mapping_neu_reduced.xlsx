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CDC38095-7901-4065-94B6-9396BD1A4B8C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3" i="3" l="1"/>
  <c r="A22" i="3" l="1"/>
  <c r="A25" i="3"/>
  <c r="A24" i="3"/>
  <c r="A21" i="3"/>
  <c r="A20" i="3"/>
  <c r="A19" i="3"/>
  <c r="A18" i="3" l="1"/>
  <c r="A17" i="3" l="1"/>
  <c r="A9" i="3"/>
  <c r="A16" i="3"/>
  <c r="A12" i="3"/>
  <c r="A8" i="3"/>
  <c r="A15" i="3"/>
  <c r="A13" i="3"/>
  <c r="A11" i="3"/>
  <c r="A10" i="3"/>
  <c r="A14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<sst xmlns="http://schemas.openxmlformats.org/spreadsheetml/2006/main" count="834" uniqueCount="331">
  <si>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</si>
  <si>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</si>
  <si>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</si>
  <si>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</si>
  <si>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</si>
  <si>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</si>
  <si>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</si>
  <si>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</si>
  <si>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</si>
  <si>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</si>
  <si>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</si>
  <si>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</si>
  <si>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</si>
  <si>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</si>
  <si>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</si>
  <si>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</si>
  <si>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</si>
  <si>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</si>
  <si>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</si>
  <si>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</si>
  <si>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</si>
  <si>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</si>
  <si>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</si>
  <si>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</si>
  <si>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</si>
  <si>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</si>
  <si>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</si>
  <si>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</si>
  <si>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</si>
  <si>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</si>
  <si>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</si>
  <si>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</si>
  <si>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</si>
  <si>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</si>
  <si>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</si>
  <si>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</si>
  <si>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</si>
  <si>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</si>
  <si>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</si>
  <si>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</si>
  <si>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</si>
  <si>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</si>
  <si>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</si>
  <si>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</si>
  <si>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</si>
  <si>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</si>
  <si>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</si>
  <si>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</si>
  <si>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</si>
  <si>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</si>
  <si>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</si>
  <si>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</si>
  <si>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</si>
  <si>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</si>
  <si>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</si>
  <si>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</si>
  <si>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</si>
  <si>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</si>
  <si>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</si>
  <si>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</si>
  <si>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</si>
  <si>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</si>
  <si>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</si>
  <si>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</si>
  <si>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</si>
  <si>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</si>
  <si>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</si>
  <si>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</si>
  <si>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</si>
  <si>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</si>
  <si>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</si>
  <si>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</si>
  <si>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</si>
  <si>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</si>
  <si>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</si>
  <si>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</si>
  <si>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</si>
  <si>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</si>
  <si>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</si>
  <si>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</si>
  <si>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</si>
  <si>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</si>
  <si>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</si>
  <si>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</si>
  <si>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</si>
  <si>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</si>
  <si>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</si>
  <si>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</si>
  <si>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</si>
  <si>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</si>
  <si>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</si>
  <si>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</si>
  <si>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</si>
  <si>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</si>
  <si>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</si>
  <si>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</si>
  <si>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</si>
  <si>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</si>
  <si>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</si>
  <si>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</si>
  <si>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</si>
  <si>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</si>
  <si>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</si>
  <si>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</si>
  <si>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</si>
  <si>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</si>
  <si>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</si>
  <si>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</si>
  <si>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</si>
  <si>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</si>
  <si>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</si>
  <si>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</si>
  <si>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</si>
  <si>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</si>
  <si>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</si>
  <si>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</si>
  <si>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</si>
  <si>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</si>
  <si>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</si>
  <si>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</si>
  <si>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</si>
  <si>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</si>
  <si>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</si>
  <si>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</si>
  <si>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</si>
  <si>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</si>
  <si>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</si>
  <si>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</si>
  <si>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</si>
  <si>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</si>
  <si>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</si>
  <si>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</si>
  <si>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</si>
  <si>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</si>
  <si>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</si>
  <si>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</si>
  <si>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</si>
  <si>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</si>
  <si>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</si>
  <si>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</si>
  <si>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</si>
  <si>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</si>
  <si>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</si>
  <si>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</si>
  <si>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</si>
  <si>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</si>
  <si>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</si>
  <si>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</si>
  <si>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</si>
  <si>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</si>
  <si>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</si>
  <si>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</si>
  <si>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</si>
  <si>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</si>
  <si>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</si>
  <si>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</si>
  <si>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</si>
  <si>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</si>
  <si>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</si>
  <si>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</si>
  <si>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</si>
  <si>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</si>
  <si>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</si>
  <si>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</si>
  <si>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</si>
  <si>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</si>
  <si>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</si>
  <si>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</si>
  <si>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</si>
  <si>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</si>
  <si>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</si>
  <si>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</si>
  <si>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</si>
  <si>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</si>
  <si>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</si>
  <si>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</si>
  <si>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</si>
  <si>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</si>
  <si>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</si>
  <si>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</si>
  <si>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</si>
  <si>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</si>
  <si>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</si>
  <si>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</si>
  <si>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</si>
  <si>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</si>
  <si>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</si>
  <si>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</si>
  <si>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</si>
  <si>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</si>
  <si>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</si>
  <si>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</si>
  <si>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</si>
  <si>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</si>
  <si>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</si>
  <si>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</si>
  <si>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</si>
  <si>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</si>
  <si>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</si>
  <si>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</si>
  <si>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</si>
  <si>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</si>
  <si>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</si>
  <si>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</si>
  <si>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</si>
  <si>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</si>
  <si>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</si>
  <si>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</si>
  <si>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</si>
  <si>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</si>
  <si>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</si>
  <si>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</si>
  <si>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</si>
  <si>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</si>
  <si>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</si>
  <si>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</si>
  <si>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</si>
  <si>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</si>
  <si>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</si>
  <si>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</si>
  <si>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</si>
  <si>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</si>
  <si>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</si>
  <si>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</si>
  <si>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</si>
  <si>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</si>
  <si>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</si>
  <si>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</si>
  <si>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</si>
  <si>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</si>
  <si>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</si>
  <si>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</si>
  <si>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</si>
  <si>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</si>
  <si>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</si>
  <si>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</si>
  <si>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</si>
  <si>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</si>
  <si>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</si>
  <si>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</si>
  <si>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</si>
  <si>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</si>
  <si>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</si>
  <si>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</si>
  <si>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</si>
  <si>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</si>
  <si>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</si>
  <si>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</si>
  <si>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</si>
  <si>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</si>
  <si>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</si>
  <si>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</si>
  <si>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</si>
  <si>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</si>
  <si>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</si>
  <si>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</si>
  <si>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</si>
  <si>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</si>
  <si>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</si>
  <si>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</si>
  <si>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</si>
  <si>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</si>
  <si>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</si>
  <si>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</si>
  <si>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</si>
  <si>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</si>
  <si>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</si>
  <si>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</si>
  <si>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</si>
  <si>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</si>
  <si>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</si>
  <si>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</si>
  <si>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</si>
  <si>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</si>
  <si>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</si>
  <si>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</si>
  <si>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</si>
  <si>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</si>
  <si>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</si>
  <si>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</si>
  <si>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</si>
  <si>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</si>
  <si>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</si>
  <si>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</si>
  <si>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</si>
  <si>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</si>
  <si>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</si>
  <si>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</si>
  <si>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</si>
  <si>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</si>
  <si>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</si>
  <si>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</si>
  <si>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</si>
  <si>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</si>
  <si>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</si>
  <si>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</si>
  <si>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</si>
  <si>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</si>
  <si>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</si>
  <si>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</si>
  <si>
    <t>1 THRU 2, 4</t>
  </si>
  <si>
    <t>q6a</t>
  </si>
  <si>
    <t xml:space="preserve">(1 THRU 2=1) (3=2) (4 THRU 5=3)  | (1 THRU 2=1) (3=3) (4=4) (5=5) </t>
  </si>
  <si>
    <t>1 '1 und 2' 2 '3' 3 '4 und 5' | 1 '1 und 2' 3 '3' 4 '4' 5 '5'</t>
  </si>
  <si>
    <t>9. Würden Sie das Tabellenbandtool weiterempfehlen?' 'DC#SELVALLAB</t>
  </si>
  <si>
    <t>(0 THRU 6=3) (7,8=2) (9,10=1) {[1]-[3]='NPS'}</t>
  </si>
  <si>
    <t>1 'Promoters' 2 'Indifferent' 3 'Detractors'</t>
  </si>
  <si>
    <t>q91</t>
  </si>
  <si>
    <t>q91 q92</t>
  </si>
  <si>
    <t>sel0 sel1</t>
  </si>
  <si>
    <t>1 2 3-6:Sonstige</t>
  </si>
  <si>
    <t>sel0</t>
  </si>
  <si>
    <t>q92</t>
  </si>
  <si>
    <t>sel1</t>
  </si>
  <si>
    <t xml:space="preserve">q2_01 q2_02 q2_03 q2_04 q2_05 q2_06 </t>
  </si>
  <si>
    <t xml:space="preserve">q5n1 q5n2 q5n3 q5n4 </t>
  </si>
  <si>
    <t>NOT CHECKED: 2. Welche Art von Studien führen Sie mit dem Tabellenbandtool durch?' 'DC#SELVALLAB</t>
  </si>
  <si>
    <t>NOT CHECKED: 5. Was lief besonders gut in den Projekten?</t>
  </si>
  <si>
    <t>7. Für die abgefragten Studienarten: Wie zufrieden sind Sie mit dem Tabellenbandtool bezüglich der eben abgefragten Merkmale?' 'DC#SELVALLAB</t>
  </si>
  <si>
    <t>(1 THRU 4=1) (5 THRU 7=2) (8 THRU 10=3)</t>
  </si>
  <si>
    <t>1 '1 bis 4' 2 '5 bis 7' 3 '8 bis 10'</t>
  </si>
  <si>
    <t>2 3-6:Sonstige</t>
  </si>
  <si>
    <t>TOP3:(8 THRU 10=100) (1 THRU 10=0)</t>
  </si>
  <si>
    <t>q7a1 q7a2 q7b1 q7b2</t>
  </si>
  <si>
    <t xml:space="preserve">q2_01 q2_02 q2_03 q2_04 </t>
  </si>
  <si>
    <t>3-6:Sonstige</t>
  </si>
  <si>
    <t>multi selvar with unguelt: 2. Welche Art von Studien führen Sie mit dem Tabellenbandtool durch?' 'DC#SELVALLAB</t>
  </si>
  <si>
    <t>q2_05 q2_05 q2_00 q2_00</t>
  </si>
  <si>
    <t>trigger invalid values: 2. Welche Art von Studien führen Sie mit dem Tabellenbandtool durch?</t>
  </si>
  <si>
    <t>q2_06</t>
  </si>
  <si>
    <t>q2_02 q2_01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</si>
</sst>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B35" sqref="B35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289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21" priority="5" operator="greaterThan">
      <formula>0</formula>
    </cfRule>
  </conditionalFormatting>
  <conditionalFormatting sqref="H5">
    <cfRule type="expression" dxfId="20" priority="2">
      <formula>H5&lt;H3</formula>
    </cfRule>
  </conditionalFormatting>
  <conditionalFormatting sqref="H7">
    <cfRule type="expression" dxfId="19" priority="3">
      <formula>H7&lt;H5</formula>
    </cfRule>
  </conditionalFormatting>
  <conditionalFormatting sqref="H9">
    <cfRule type="expression" dxfId="18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1" sqref="E1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5"/>
      <c r="B3" s="36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5"/>
      <c r="B4" s="36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5"/>
  <sheetViews>
    <sheetView tabSelected="1" zoomScaleNormal="100" workbookViewId="0">
      <selection activeCell="H24" sqref="H24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4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 t="s">
        <v>300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237</v>
      </c>
      <c r="G8" s="31" t="s">
        <v>292</v>
      </c>
      <c r="H8" s="31" t="s">
        <v>268</v>
      </c>
      <c r="I8" s="31"/>
      <c r="J8" s="31"/>
      <c r="K8" s="31"/>
      <c r="L8" s="31"/>
      <c r="M8" s="31"/>
      <c r="N8" s="31" t="s">
        <v>279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254</v>
      </c>
      <c r="C9" s="30"/>
      <c r="D9" s="30"/>
      <c r="E9" s="30"/>
      <c r="F9" s="31" t="s">
        <v>237</v>
      </c>
      <c r="G9" s="31" t="s">
        <v>280</v>
      </c>
      <c r="H9" s="31" t="s">
        <v>268</v>
      </c>
      <c r="I9" s="31"/>
      <c r="J9" s="31"/>
      <c r="K9" s="31"/>
      <c r="L9" s="31" t="s">
        <v>299</v>
      </c>
      <c r="M9" s="31"/>
      <c r="N9" s="31" t="s">
        <v>297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" si="3">"Q"&amp;LEFT(B10,FIND(".",B10)-1)</f>
        <v>Q3</v>
      </c>
      <c r="B10" s="30" t="s">
        <v>254</v>
      </c>
      <c r="C10" s="30"/>
      <c r="D10" s="30"/>
      <c r="E10" s="30"/>
      <c r="F10" s="31" t="s">
        <v>238</v>
      </c>
      <c r="G10" s="31" t="s">
        <v>280</v>
      </c>
      <c r="H10" s="31" t="s">
        <v>268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281</v>
      </c>
      <c r="AE10" s="25"/>
      <c r="AF10" s="25"/>
      <c r="AG10" s="25"/>
      <c r="AH10" s="25" t="s">
        <v>282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:A13" si="4">"Q"&amp;LEFT(B11,FIND(".",B11)-1)</f>
        <v>Q3</v>
      </c>
      <c r="B11" s="30" t="s">
        <v>254</v>
      </c>
      <c r="C11" s="30"/>
      <c r="D11" s="30"/>
      <c r="E11" s="30"/>
      <c r="F11" s="31" t="s">
        <v>238</v>
      </c>
      <c r="G11" s="31" t="s">
        <v>280</v>
      </c>
      <c r="H11" s="31" t="s">
        <v>268</v>
      </c>
      <c r="I11" s="31"/>
      <c r="J11" s="31"/>
      <c r="K11" s="31"/>
      <c r="L11" s="31"/>
      <c r="M11" s="31"/>
      <c r="N11" s="31" t="s">
        <v>279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249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ref="A12" si="5">"Q"&amp;LEFT(B12,FIND(".",B12)-1)</f>
        <v>Q3</v>
      </c>
      <c r="B12" s="30" t="s">
        <v>254</v>
      </c>
      <c r="C12" s="30"/>
      <c r="D12" s="30"/>
      <c r="E12" s="30"/>
      <c r="F12" s="31" t="s">
        <v>237</v>
      </c>
      <c r="G12" s="31" t="s">
        <v>293</v>
      </c>
      <c r="H12" s="31" t="s">
        <v>268</v>
      </c>
      <c r="I12" s="31"/>
      <c r="J12" s="31"/>
      <c r="K12" s="31"/>
      <c r="L12" s="31"/>
      <c r="M12" s="31"/>
      <c r="N12" s="31" t="s">
        <v>279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249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4"/>
        <v>Q4</v>
      </c>
      <c r="B13" s="30" t="s">
        <v>283</v>
      </c>
      <c r="C13" s="30"/>
      <c r="D13" s="30"/>
      <c r="E13" s="30"/>
      <c r="F13" s="31" t="s">
        <v>237</v>
      </c>
      <c r="G13" s="31" t="s">
        <v>284</v>
      </c>
      <c r="H13" s="31" t="s">
        <v>268</v>
      </c>
      <c r="I13" s="31"/>
      <c r="J13" s="31" t="s">
        <v>285</v>
      </c>
      <c r="K13" s="31" t="s">
        <v>286</v>
      </c>
      <c r="L13" s="31"/>
      <c r="M13" s="31"/>
      <c r="N13" s="31" t="s">
        <v>287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Q5</v>
      </c>
      <c r="B14" s="30" t="s">
        <v>255</v>
      </c>
      <c r="C14" s="30"/>
      <c r="D14" s="30"/>
      <c r="E14" s="30"/>
      <c r="F14" s="31" t="s">
        <v>256</v>
      </c>
      <c r="G14" s="31" t="s">
        <v>257</v>
      </c>
      <c r="H14" s="31" t="s">
        <v>290</v>
      </c>
      <c r="I14" s="31"/>
      <c r="J14" s="31"/>
      <c r="K14" s="31"/>
      <c r="L14" s="31"/>
      <c r="M14" s="31"/>
      <c r="N14" s="31"/>
      <c r="O14" s="25"/>
      <c r="P14" s="31"/>
      <c r="Q14" s="31" t="s">
        <v>258</v>
      </c>
      <c r="R14" s="31" t="s">
        <v>288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tr">
        <f t="shared" ref="A15:A16" si="6">"Q"&amp;LEFT(B15,FIND(".",B15)-1)</f>
        <v>Q5</v>
      </c>
      <c r="B15" s="30" t="s">
        <v>255</v>
      </c>
      <c r="C15" s="30"/>
      <c r="D15" s="30"/>
      <c r="E15" s="30"/>
      <c r="F15" s="31" t="s">
        <v>256</v>
      </c>
      <c r="G15" s="31" t="s">
        <v>257</v>
      </c>
      <c r="H15" s="31" t="s">
        <v>251</v>
      </c>
      <c r="I15" s="31"/>
      <c r="J15" s="31"/>
      <c r="K15" s="31"/>
      <c r="L15" s="31"/>
      <c r="M15" s="31"/>
      <c r="N15" s="31"/>
      <c r="O15" s="25"/>
      <c r="P15" s="31"/>
      <c r="Q15" s="31" t="s">
        <v>258</v>
      </c>
      <c r="R15" s="31" t="s">
        <v>288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291</v>
      </c>
      <c r="AO15" s="26"/>
    </row>
    <row r="16" spans="1:41" x14ac:dyDescent="0.25">
      <c r="A16" s="30" t="str">
        <f t="shared" si="6"/>
        <v>Q6</v>
      </c>
      <c r="B16" s="30" t="s">
        <v>294</v>
      </c>
      <c r="C16" s="30"/>
      <c r="D16" s="30"/>
      <c r="E16" s="30"/>
      <c r="F16" s="31" t="s">
        <v>238</v>
      </c>
      <c r="G16" s="31" t="s">
        <v>295</v>
      </c>
      <c r="H16" s="31" t="s">
        <v>296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298</v>
      </c>
      <c r="AM16" s="25"/>
      <c r="AN16" s="25"/>
      <c r="AO16" s="26"/>
    </row>
    <row r="17" spans="1:41" x14ac:dyDescent="0.25">
      <c r="A17" s="30" t="str">
        <f t="shared" ref="A17:A18" si="7">"Q"&amp;LEFT(B17,FIND(".",B17)-1)</f>
        <v>Q6</v>
      </c>
      <c r="B17" s="30" t="s">
        <v>294</v>
      </c>
      <c r="C17" s="30"/>
      <c r="D17" s="30"/>
      <c r="E17" s="30"/>
      <c r="F17" s="31" t="s">
        <v>237</v>
      </c>
      <c r="G17" s="31" t="s">
        <v>301</v>
      </c>
      <c r="H17" s="31" t="s">
        <v>296</v>
      </c>
      <c r="I17" s="31"/>
      <c r="J17" s="31" t="s">
        <v>302</v>
      </c>
      <c r="K17" s="31" t="s">
        <v>303</v>
      </c>
      <c r="L17" s="31"/>
      <c r="M17" s="31"/>
      <c r="N17" s="31"/>
      <c r="O17" s="25"/>
      <c r="P17" s="31"/>
      <c r="Q17" s="31"/>
      <c r="R17" s="31"/>
      <c r="S17" s="31"/>
      <c r="T17" s="31"/>
      <c r="U17" s="31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A18" s="30" t="str">
        <f t="shared" si="7"/>
        <v>Q9</v>
      </c>
      <c r="B18" s="30" t="s">
        <v>304</v>
      </c>
      <c r="C18" s="30"/>
      <c r="D18" s="30"/>
      <c r="E18" s="30"/>
      <c r="F18" s="31"/>
      <c r="G18" s="31" t="s">
        <v>307</v>
      </c>
      <c r="H18" s="31" t="s">
        <v>296</v>
      </c>
      <c r="I18" s="31"/>
      <c r="J18" s="31" t="s">
        <v>305</v>
      </c>
      <c r="K18" s="31" t="s">
        <v>306</v>
      </c>
      <c r="L18" s="31"/>
      <c r="M18" s="31"/>
      <c r="N18" s="31"/>
      <c r="O18" s="25"/>
      <c r="P18" s="31"/>
      <c r="Q18" s="31"/>
      <c r="R18" s="31"/>
      <c r="S18" s="31" t="s">
        <v>311</v>
      </c>
      <c r="T18" s="31" t="s">
        <v>310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A19" s="30" t="str">
        <f t="shared" ref="A19:A25" si="8">"Q"&amp;LEFT(B19,FIND(".",B19)-1)</f>
        <v>Q9</v>
      </c>
      <c r="B19" s="30" t="s">
        <v>304</v>
      </c>
      <c r="C19" s="30"/>
      <c r="D19" s="30"/>
      <c r="E19" s="30"/>
      <c r="F19" s="31"/>
      <c r="G19" s="31" t="s">
        <v>312</v>
      </c>
      <c r="H19" s="31" t="s">
        <v>296</v>
      </c>
      <c r="I19" s="31"/>
      <c r="J19" s="31" t="s">
        <v>305</v>
      </c>
      <c r="K19" s="31" t="s">
        <v>306</v>
      </c>
      <c r="L19" s="31"/>
      <c r="M19" s="31"/>
      <c r="N19" s="31"/>
      <c r="O19" s="25"/>
      <c r="P19" s="31"/>
      <c r="Q19" s="31"/>
      <c r="R19" s="31"/>
      <c r="S19" s="31" t="s">
        <v>313</v>
      </c>
      <c r="T19" s="31" t="s">
        <v>310</v>
      </c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A20" s="30" t="str">
        <f t="shared" si="8"/>
        <v>Q9</v>
      </c>
      <c r="B20" s="30" t="s">
        <v>304</v>
      </c>
      <c r="C20" s="30"/>
      <c r="D20" s="30"/>
      <c r="E20" s="30"/>
      <c r="F20" s="31" t="s">
        <v>237</v>
      </c>
      <c r="G20" s="31" t="s">
        <v>308</v>
      </c>
      <c r="H20" s="31" t="s">
        <v>296</v>
      </c>
      <c r="I20" s="31"/>
      <c r="J20" s="31" t="s">
        <v>305</v>
      </c>
      <c r="K20" s="31" t="s">
        <v>306</v>
      </c>
      <c r="L20" s="31"/>
      <c r="M20" s="31"/>
      <c r="N20" s="31"/>
      <c r="O20" s="25"/>
      <c r="P20" s="31"/>
      <c r="Q20" s="31"/>
      <c r="R20" s="31"/>
      <c r="S20" s="31" t="s">
        <v>309</v>
      </c>
      <c r="T20" s="31" t="s">
        <v>310</v>
      </c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A21" s="30" t="str">
        <f t="shared" si="8"/>
        <v>QNOT CHECKED: 2</v>
      </c>
      <c r="B21" s="30" t="s">
        <v>316</v>
      </c>
      <c r="C21" s="30"/>
      <c r="D21" s="30"/>
      <c r="E21" s="30"/>
      <c r="F21" s="31" t="s">
        <v>253</v>
      </c>
      <c r="G21" s="31" t="s">
        <v>314</v>
      </c>
      <c r="H21" s="31"/>
      <c r="I21" s="31"/>
      <c r="J21" s="31"/>
      <c r="K21" s="31"/>
      <c r="L21" s="31"/>
      <c r="M21" s="31"/>
      <c r="N21" s="31"/>
      <c r="O21" s="25"/>
      <c r="P21" s="31"/>
      <c r="Q21" s="31"/>
      <c r="R21" s="31"/>
      <c r="S21" s="31" t="s">
        <v>309</v>
      </c>
      <c r="T21" s="31" t="s">
        <v>310</v>
      </c>
      <c r="U21" s="25"/>
      <c r="V21" s="25"/>
      <c r="W21" s="25"/>
      <c r="X21" s="25"/>
      <c r="Y21" s="25"/>
      <c r="Z21" s="25" t="s">
        <v>300</v>
      </c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A22" s="30" t="str">
        <f t="shared" ref="A22" si="9">"Q"&amp;LEFT(B22,FIND(".",B22)-1)</f>
        <v>Qmulti selvar with unguelt: 2</v>
      </c>
      <c r="B22" s="30" t="s">
        <v>326</v>
      </c>
      <c r="C22" s="30"/>
      <c r="D22" s="30"/>
      <c r="E22" s="30"/>
      <c r="F22" s="31" t="s">
        <v>253</v>
      </c>
      <c r="G22" s="31" t="s">
        <v>324</v>
      </c>
      <c r="H22" s="31" t="s">
        <v>327</v>
      </c>
      <c r="I22" s="31"/>
      <c r="J22" s="31"/>
      <c r="K22" s="31"/>
      <c r="L22" s="31"/>
      <c r="M22" s="31"/>
      <c r="N22" s="31"/>
      <c r="O22" s="25"/>
      <c r="P22" s="31"/>
      <c r="Q22" s="31"/>
      <c r="R22" s="31"/>
      <c r="S22" s="31" t="s">
        <v>309</v>
      </c>
      <c r="T22" s="31" t="s">
        <v>325</v>
      </c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A23" s="30" t="str">
        <f t="shared" ref="A23" si="10">"Q"&amp;LEFT(B23,FIND(".",B23)-1)</f>
        <v>Qtrigger invalid values: 2</v>
      </c>
      <c r="B23" s="30" t="s">
        <v>328</v>
      </c>
      <c r="C23" s="30"/>
      <c r="D23" s="30"/>
      <c r="E23" s="30"/>
      <c r="F23" s="31" t="s">
        <v>253</v>
      </c>
      <c r="G23" s="31" t="s">
        <v>329</v>
      </c>
      <c r="H23" s="31" t="s">
        <v>330</v>
      </c>
      <c r="I23" s="31"/>
      <c r="J23" s="31"/>
      <c r="K23" s="31"/>
      <c r="L23" s="31"/>
      <c r="M23" s="31"/>
      <c r="N23" s="31"/>
      <c r="O23" s="25"/>
      <c r="P23" s="31"/>
      <c r="Q23" s="31"/>
      <c r="R23" s="31"/>
      <c r="S23" s="31"/>
      <c r="T23" s="31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1:41" x14ac:dyDescent="0.25">
      <c r="A24" s="30" t="str">
        <f t="shared" si="8"/>
        <v>QNOT CHECKED: 5</v>
      </c>
      <c r="B24" s="30" t="s">
        <v>317</v>
      </c>
      <c r="C24" s="30"/>
      <c r="D24" s="30"/>
      <c r="E24" s="30"/>
      <c r="F24" s="31" t="s">
        <v>256</v>
      </c>
      <c r="G24" s="31" t="s">
        <v>315</v>
      </c>
      <c r="H24" s="31" t="s">
        <v>290</v>
      </c>
      <c r="I24" s="31"/>
      <c r="J24" s="31"/>
      <c r="K24" s="31"/>
      <c r="L24" s="31"/>
      <c r="M24" s="31"/>
      <c r="N24" s="31"/>
      <c r="O24" s="25"/>
      <c r="P24" s="31"/>
      <c r="Q24" s="31" t="s">
        <v>258</v>
      </c>
      <c r="R24" s="31" t="s">
        <v>288</v>
      </c>
      <c r="S24" s="31" t="s">
        <v>309</v>
      </c>
      <c r="T24" s="31" t="s">
        <v>310</v>
      </c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1:41" x14ac:dyDescent="0.25">
      <c r="A25" s="30" t="str">
        <f t="shared" si="8"/>
        <v>Q7</v>
      </c>
      <c r="B25" s="30" t="s">
        <v>318</v>
      </c>
      <c r="C25" s="30"/>
      <c r="D25" s="30"/>
      <c r="E25" s="30"/>
      <c r="F25" s="31" t="s">
        <v>238</v>
      </c>
      <c r="G25" s="31" t="s">
        <v>323</v>
      </c>
      <c r="H25" s="31" t="s">
        <v>296</v>
      </c>
      <c r="I25" s="31"/>
      <c r="J25" s="31" t="s">
        <v>319</v>
      </c>
      <c r="K25" s="31" t="s">
        <v>320</v>
      </c>
      <c r="L25" s="31"/>
      <c r="M25" s="31"/>
      <c r="N25" s="31" t="s">
        <v>297</v>
      </c>
      <c r="O25" s="25"/>
      <c r="P25" s="31"/>
      <c r="Q25" s="31"/>
      <c r="R25" s="31"/>
      <c r="S25" s="31" t="s">
        <v>309</v>
      </c>
      <c r="T25" s="31" t="s">
        <v>321</v>
      </c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31" t="s">
        <v>322</v>
      </c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  <row r="674" spans="3:41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6"/>
    </row>
    <row r="675" spans="3:41" x14ac:dyDescent="0.25">
      <c r="C675" s="22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6"/>
    </row>
  </sheetData>
  <conditionalFormatting sqref="A1">
    <cfRule type="duplicateValues" dxfId="17" priority="17"/>
  </conditionalFormatting>
  <conditionalFormatting sqref="A13">
    <cfRule type="duplicateValues" dxfId="16" priority="15"/>
    <cfRule type="duplicateValues" dxfId="15" priority="16"/>
  </conditionalFormatting>
  <conditionalFormatting sqref="A14:A15 A5:A12">
    <cfRule type="duplicateValues" dxfId="14" priority="34"/>
    <cfRule type="duplicateValues" dxfId="13" priority="35"/>
  </conditionalFormatting>
  <conditionalFormatting sqref="A16:A17">
    <cfRule type="duplicateValues" dxfId="12" priority="13"/>
    <cfRule type="duplicateValues" dxfId="11" priority="14"/>
  </conditionalFormatting>
  <conditionalFormatting sqref="A18:A19">
    <cfRule type="duplicateValues" dxfId="10" priority="9"/>
    <cfRule type="duplicateValues" dxfId="9" priority="10"/>
  </conditionalFormatting>
  <conditionalFormatting sqref="A20">
    <cfRule type="duplicateValues" dxfId="8" priority="7"/>
    <cfRule type="duplicateValues" dxfId="7" priority="8"/>
  </conditionalFormatting>
  <conditionalFormatting sqref="A21:A23">
    <cfRule type="duplicateValues" dxfId="6" priority="5"/>
    <cfRule type="duplicateValues" dxfId="5" priority="6"/>
  </conditionalFormatting>
  <conditionalFormatting sqref="A24">
    <cfRule type="duplicateValues" dxfId="4" priority="3"/>
    <cfRule type="duplicateValues" dxfId="3" priority="4"/>
  </conditionalFormatting>
  <conditionalFormatting sqref="A25">
    <cfRule type="duplicateValues" dxfId="2" priority="1"/>
    <cfRule type="duplicateValues" dxfId="1" priority="2"/>
  </conditionalFormatting>
  <conditionalFormatting sqref="A26:A1048576 A2:A4">
    <cfRule type="duplicateValues" dxfId="0" priority="24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12</vt:i4>
      </vt:variant>
    </vt:vector>
  </HeadingPairs>
  <TitlesOfParts>
    <vt:vector size="15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2023-10-26T18:04:36Z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