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2831EC42-DE09-412B-94C8-518930F9B017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#REF!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9" i="3" l="1"/>
  <c r="A16" i="3"/>
  <c r="A12" i="3"/>
  <c r="A8" i="3"/>
  <c r="A15" i="3"/>
  <c r="A13" i="3"/>
  <c r="A11" i="3"/>
  <c r="A10" i="3"/>
  <c r="A14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<sst xmlns="http://schemas.openxmlformats.org/spreadsheetml/2006/main" count="771" uniqueCount="300">
  <si>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</si>
  <si>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</si>
  <si>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</si>
  <si>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</si>
  <si>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</si>
  <si>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</si>
  <si>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</si>
  <si>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</si>
  <si>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</si>
  <si>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</si>
  <si>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</si>
  <si>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</si>
  <si>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</si>
  <si>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</si>
  <si>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</si>
  <si>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</si>
  <si>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</si>
  <si>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</si>
  <si>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</si>
  <si>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</si>
  <si>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</si>
  <si>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</si>
  <si>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</si>
  <si>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</si>
  <si>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</si>
  <si>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</si>
  <si>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</si>
  <si>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</si>
  <si>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</si>
  <si>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</si>
  <si>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</si>
  <si>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</si>
  <si>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</si>
  <si>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</si>
  <si>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</si>
  <si>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</si>
  <si>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</si>
  <si>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</si>
  <si>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</si>
  <si>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</si>
  <si>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</si>
  <si>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</si>
  <si>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</si>
  <si>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</si>
  <si>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</si>
  <si>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</si>
  <si>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</si>
  <si>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</si>
  <si>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</si>
  <si>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</si>
  <si>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</si>
  <si>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</si>
  <si>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</si>
  <si>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</si>
  <si>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</si>
  <si>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</si>
  <si>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</si>
  <si>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</si>
  <si>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</si>
  <si>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</si>
  <si>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</si>
  <si>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</si>
  <si>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</si>
  <si>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</si>
  <si>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</si>
  <si>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</si>
  <si>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</si>
  <si>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</si>
  <si>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</si>
  <si>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</si>
  <si>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</si>
  <si>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</si>
  <si>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</si>
  <si>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</si>
  <si>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</si>
  <si>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</si>
  <si>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</si>
  <si>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</si>
  <si>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</si>
  <si>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</si>
  <si>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</si>
  <si>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</si>
  <si>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</si>
  <si>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</si>
  <si>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</si>
  <si>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</si>
  <si>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</si>
  <si>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</si>
  <si>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</si>
  <si>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</si>
  <si>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</si>
  <si>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</si>
  <si>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</si>
  <si>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</si>
  <si>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</si>
  <si>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</si>
  <si>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</si>
  <si>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</si>
  <si>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</si>
  <si>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</si>
  <si>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</si>
  <si>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</si>
  <si>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</si>
  <si>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</si>
  <si>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</si>
  <si>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</si>
  <si>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</si>
  <si>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</si>
  <si>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</si>
  <si>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</si>
  <si>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</si>
  <si>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</si>
  <si>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</si>
  <si>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</si>
  <si>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</si>
  <si>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</si>
  <si>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</si>
  <si>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</si>
  <si>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</si>
  <si>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</si>
  <si>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</si>
  <si>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</si>
  <si>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</si>
  <si>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</si>
  <si>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</si>
  <si>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</si>
  <si>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</si>
  <si>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</si>
  <si>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</si>
  <si>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</si>
  <si>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</si>
  <si>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</si>
  <si>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</si>
  <si>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</si>
  <si>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</si>
  <si>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</si>
  <si>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</si>
  <si>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</si>
  <si>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</si>
  <si>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</si>
  <si>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</si>
  <si>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</si>
  <si>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</si>
  <si>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</si>
  <si>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</si>
  <si>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</si>
  <si>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</si>
  <si>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</si>
  <si>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</si>
  <si>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</si>
  <si>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</si>
  <si>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</si>
  <si>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</si>
  <si>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</si>
  <si>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</si>
  <si>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</si>
  <si>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</si>
  <si>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</si>
  <si>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</si>
  <si>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</si>
  <si>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</si>
  <si>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</si>
  <si>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</si>
  <si>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</si>
  <si>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</si>
  <si>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</si>
  <si>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</si>
  <si>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</si>
  <si>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</si>
  <si>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</si>
  <si>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</si>
  <si>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</si>
  <si>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</si>
  <si>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</si>
  <si>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</si>
  <si>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</si>
  <si>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</si>
  <si>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</si>
  <si>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</si>
  <si>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</si>
  <si>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</si>
  <si>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</si>
  <si>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</si>
  <si>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</si>
  <si>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</si>
  <si>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</si>
  <si>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</si>
  <si>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</si>
  <si>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</si>
  <si>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</si>
  <si>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</si>
  <si>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</si>
  <si>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</si>
  <si>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</si>
  <si>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</si>
  <si>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</si>
  <si>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</si>
  <si>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</si>
  <si>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</si>
  <si>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</si>
  <si>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</si>
  <si>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</si>
  <si>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</si>
  <si>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</si>
  <si>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</si>
  <si>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</si>
  <si>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</si>
  <si>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</si>
  <si>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</si>
  <si>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</si>
  <si>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</si>
  <si>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</si>
  <si>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</si>
  <si>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</si>
  <si>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</si>
  <si>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</si>
  <si>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</si>
  <si>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</si>
  <si>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</si>
  <si>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</si>
  <si>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</si>
  <si>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</si>
  <si>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</si>
  <si>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</si>
  <si>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</si>
  <si>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</si>
  <si>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</si>
  <si>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</si>
  <si>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</si>
  <si>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</si>
  <si>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</si>
  <si>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</si>
  <si>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</si>
  <si>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</si>
  <si>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</si>
  <si>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</si>
  <si>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</si>
  <si>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</si>
  <si>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</si>
  <si>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</si>
  <si>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</si>
  <si>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</si>
  <si>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</si>
  <si>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</si>
  <si>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</si>
  <si>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</si>
  <si>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</si>
  <si>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</si>
  <si>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</si>
  <si>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</si>
  <si>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</si>
  <si>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</si>
  <si>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</si>
  <si>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</si>
  <si>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</si>
  <si>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</si>
  <si>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</si>
  <si>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</si>
  <si>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</si>
  <si>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</si>
  <si>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</si>
  <si>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</si>
  <si>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</si>
  <si>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</si>
  <si>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</si>
  <si>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 xml:space="preserve">q2_01 q2_02 q2_03 q2_04 q2_05 q2_06 q2_07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</si>
  <si>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</si>
  <si>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</si>
  <si>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</si>
  <si>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</si>
  <si>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</si>
  <si>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</si>
  <si>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</si>
  <si>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</si>
  <si>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</si>
  <si>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</si>
  <si>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</si>
  <si>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</si>
  <si>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</si>
  <si>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</si>
  <si>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</si>
  <si>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</si>
  <si>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</si>
  <si>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</si>
  <si>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</si>
  <si>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</si>
  <si>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'1-2mal' 2 '3-5mal' 3 '&gt;5mal' </t>
  </si>
  <si>
    <t>S1E2M0</t>
  </si>
  <si>
    <t>ORDER=D KEY=COUNT</t>
  </si>
  <si>
    <t>Set missing value to</t>
  </si>
  <si>
    <t>5, 2, 99,-2</t>
  </si>
  <si>
    <t>5, 2</t>
  </si>
  <si>
    <t>q3a</t>
  </si>
  <si>
    <t xml:space="preserve">q3a 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</si>
  <si>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</si>
  <si>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</si>
  <si>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</si>
  <si>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S1E2</t>
  </si>
  <si>
    <t>TOP2:(4 THRU 5=100) (1 THRU 5=0)|TOP1:(5=100) (1 THRU 5=0)</t>
  </si>
  <si>
    <t>(0 THRU 50 = -2)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</si>
</sst>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17" borderId="0" xfId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B35" sqref="B35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1</v>
      </c>
      <c r="C16" s="1" t="s">
        <v>15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276</v>
      </c>
      <c r="B23" s="33" t="s">
        <v>277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289</v>
      </c>
      <c r="B35" s="34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11" priority="5" operator="greaterThan">
      <formula>0</formula>
    </cfRule>
  </conditionalFormatting>
  <conditionalFormatting sqref="H5">
    <cfRule type="expression" dxfId="10" priority="2">
      <formula>H5&lt;H3</formula>
    </cfRule>
  </conditionalFormatting>
  <conditionalFormatting sqref="H7">
    <cfRule type="expression" dxfId="9" priority="3">
      <formula>H7&lt;H5</formula>
    </cfRule>
  </conditionalFormatting>
  <conditionalFormatting sqref="H9">
    <cfRule type="expression" dxfId="8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E1" sqref="E1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5"/>
      <c r="B3" s="36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5"/>
      <c r="B4" s="36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275</v>
      </c>
      <c r="B5" s="20" t="s">
        <v>149</v>
      </c>
      <c r="C5" s="20" t="s">
        <v>150</v>
      </c>
      <c r="D5" s="20" t="s">
        <v>151</v>
      </c>
      <c r="E5" s="29" t="s">
        <v>278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249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4"/>
  <sheetViews>
    <sheetView tabSelected="1" zoomScaleNormal="100" workbookViewId="0">
      <selection activeCell="L10" sqref="L10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269</v>
      </c>
      <c r="D1" s="28" t="s">
        <v>270</v>
      </c>
      <c r="E1" s="28" t="s">
        <v>271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272</v>
      </c>
      <c r="P1" s="28" t="s">
        <v>273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274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4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265</v>
      </c>
      <c r="H6" s="31" t="s">
        <v>266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267</v>
      </c>
      <c r="H7" s="31" t="s">
        <v>268</v>
      </c>
      <c r="I7" s="31"/>
      <c r="J7" s="31"/>
      <c r="K7" s="31"/>
      <c r="L7" s="31"/>
      <c r="M7" s="31"/>
      <c r="N7" s="31"/>
      <c r="O7" s="25"/>
      <c r="P7" s="31"/>
      <c r="Q7" s="31"/>
      <c r="R7" s="31"/>
      <c r="S7" s="31"/>
      <c r="T7" s="31"/>
      <c r="U7" s="25"/>
      <c r="V7" s="25">
        <v>0</v>
      </c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254</v>
      </c>
      <c r="C8" s="30"/>
      <c r="D8" s="30"/>
      <c r="E8" s="30"/>
      <c r="F8" s="31" t="s">
        <v>237</v>
      </c>
      <c r="G8" s="31" t="s">
        <v>292</v>
      </c>
      <c r="H8" s="31" t="s">
        <v>268</v>
      </c>
      <c r="I8" s="31"/>
      <c r="J8" s="31"/>
      <c r="K8" s="31"/>
      <c r="L8" s="31"/>
      <c r="M8" s="31"/>
      <c r="N8" s="31" t="s">
        <v>279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>
        <v>0</v>
      </c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" si="2">"Q"&amp;LEFT(B9,FIND(".",B9)-1)</f>
        <v>Q3</v>
      </c>
      <c r="B9" s="30" t="s">
        <v>254</v>
      </c>
      <c r="C9" s="30"/>
      <c r="D9" s="30"/>
      <c r="E9" s="30"/>
      <c r="F9" s="31" t="s">
        <v>237</v>
      </c>
      <c r="G9" s="31" t="s">
        <v>292</v>
      </c>
      <c r="H9" s="31" t="s">
        <v>268</v>
      </c>
      <c r="I9" s="31"/>
      <c r="J9" s="31"/>
      <c r="K9" s="31"/>
      <c r="L9" s="31" t="s">
        <v>299</v>
      </c>
      <c r="M9" s="31"/>
      <c r="N9" s="31" t="s">
        <v>297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ref="A10" si="3">"Q"&amp;LEFT(B10,FIND(".",B10)-1)</f>
        <v>Q3</v>
      </c>
      <c r="B10" s="30" t="s">
        <v>254</v>
      </c>
      <c r="C10" s="30"/>
      <c r="D10" s="30"/>
      <c r="E10" s="30"/>
      <c r="F10" s="31" t="s">
        <v>238</v>
      </c>
      <c r="G10" s="31" t="s">
        <v>280</v>
      </c>
      <c r="H10" s="31" t="s">
        <v>268</v>
      </c>
      <c r="I10" s="31"/>
      <c r="J10" s="31"/>
      <c r="K10" s="31"/>
      <c r="L10" s="31"/>
      <c r="M10" s="31"/>
      <c r="N10" s="31"/>
      <c r="O10" s="25"/>
      <c r="P10" s="31"/>
      <c r="Q10" s="31"/>
      <c r="R10" s="31"/>
      <c r="S10" s="31"/>
      <c r="T10" s="31"/>
      <c r="U10" s="25"/>
      <c r="V10" s="25">
        <v>0</v>
      </c>
      <c r="W10" s="25"/>
      <c r="X10" s="25"/>
      <c r="Y10" s="25"/>
      <c r="Z10" s="25"/>
      <c r="AA10" s="25"/>
      <c r="AB10" s="25"/>
      <c r="AC10" s="25"/>
      <c r="AD10" s="14" t="s">
        <v>281</v>
      </c>
      <c r="AE10" s="25"/>
      <c r="AF10" s="25"/>
      <c r="AG10" s="25"/>
      <c r="AH10" s="25" t="s">
        <v>282</v>
      </c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ref="A11:A13" si="4">"Q"&amp;LEFT(B11,FIND(".",B11)-1)</f>
        <v>Q3</v>
      </c>
      <c r="B11" s="30" t="s">
        <v>254</v>
      </c>
      <c r="C11" s="30"/>
      <c r="D11" s="30"/>
      <c r="E11" s="30"/>
      <c r="F11" s="31" t="s">
        <v>238</v>
      </c>
      <c r="G11" s="31" t="s">
        <v>280</v>
      </c>
      <c r="H11" s="31" t="s">
        <v>268</v>
      </c>
      <c r="I11" s="31"/>
      <c r="J11" s="31"/>
      <c r="K11" s="31"/>
      <c r="L11" s="31"/>
      <c r="M11" s="31"/>
      <c r="N11" s="31" t="s">
        <v>279</v>
      </c>
      <c r="O11" s="25"/>
      <c r="P11" s="31"/>
      <c r="Q11" s="31"/>
      <c r="R11" s="31"/>
      <c r="S11" s="31"/>
      <c r="T11" s="31"/>
      <c r="U11" s="25"/>
      <c r="V11" s="25">
        <v>0</v>
      </c>
      <c r="W11" s="25"/>
      <c r="X11" s="25"/>
      <c r="Y11" s="25"/>
      <c r="Z11" s="25"/>
      <c r="AA11" s="25"/>
      <c r="AB11" s="25"/>
      <c r="AC11" s="25">
        <v>0</v>
      </c>
      <c r="AD11" s="14"/>
      <c r="AE11" s="25"/>
      <c r="AF11" s="25" t="s">
        <v>249</v>
      </c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tr">
        <f t="shared" ref="A12" si="5">"Q"&amp;LEFT(B12,FIND(".",B12)-1)</f>
        <v>Q3</v>
      </c>
      <c r="B12" s="30" t="s">
        <v>254</v>
      </c>
      <c r="C12" s="30"/>
      <c r="D12" s="30"/>
      <c r="E12" s="30"/>
      <c r="F12" s="31" t="s">
        <v>237</v>
      </c>
      <c r="G12" s="31" t="s">
        <v>293</v>
      </c>
      <c r="H12" s="31" t="s">
        <v>268</v>
      </c>
      <c r="I12" s="31"/>
      <c r="J12" s="31"/>
      <c r="K12" s="31"/>
      <c r="L12" s="31"/>
      <c r="M12" s="31"/>
      <c r="N12" s="31" t="s">
        <v>279</v>
      </c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>
        <v>0</v>
      </c>
      <c r="AD12" s="14"/>
      <c r="AE12" s="25"/>
      <c r="AF12" s="25" t="s">
        <v>249</v>
      </c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 t="str">
        <f t="shared" si="4"/>
        <v>Q4</v>
      </c>
      <c r="B13" s="30" t="s">
        <v>283</v>
      </c>
      <c r="C13" s="30"/>
      <c r="D13" s="30"/>
      <c r="E13" s="30"/>
      <c r="F13" s="31" t="s">
        <v>237</v>
      </c>
      <c r="G13" s="31" t="s">
        <v>284</v>
      </c>
      <c r="H13" s="31" t="s">
        <v>268</v>
      </c>
      <c r="I13" s="31"/>
      <c r="J13" s="31" t="s">
        <v>285</v>
      </c>
      <c r="K13" s="31" t="s">
        <v>286</v>
      </c>
      <c r="L13" s="31"/>
      <c r="M13" s="31"/>
      <c r="N13" s="31" t="s">
        <v>287</v>
      </c>
      <c r="O13" s="25"/>
      <c r="P13" s="31"/>
      <c r="Q13" s="31"/>
      <c r="R13" s="31"/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>
        <v>0</v>
      </c>
      <c r="AD13" s="14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tr">
        <f t="shared" si="0"/>
        <v>Q5</v>
      </c>
      <c r="B14" s="30" t="s">
        <v>255</v>
      </c>
      <c r="C14" s="30"/>
      <c r="D14" s="30"/>
      <c r="E14" s="30"/>
      <c r="F14" s="31" t="s">
        <v>256</v>
      </c>
      <c r="G14" s="31" t="s">
        <v>257</v>
      </c>
      <c r="H14" s="31" t="s">
        <v>290</v>
      </c>
      <c r="I14" s="31"/>
      <c r="J14" s="31"/>
      <c r="K14" s="31"/>
      <c r="L14" s="31"/>
      <c r="M14" s="31"/>
      <c r="N14" s="31"/>
      <c r="O14" s="25"/>
      <c r="P14" s="31"/>
      <c r="Q14" s="31" t="s">
        <v>258</v>
      </c>
      <c r="R14" s="31" t="s">
        <v>288</v>
      </c>
      <c r="S14" s="31"/>
      <c r="T14" s="31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A15" s="30" t="str">
        <f t="shared" ref="A15:A16" si="6">"Q"&amp;LEFT(B15,FIND(".",B15)-1)</f>
        <v>Q5</v>
      </c>
      <c r="B15" s="30" t="s">
        <v>255</v>
      </c>
      <c r="C15" s="30"/>
      <c r="D15" s="30"/>
      <c r="E15" s="30"/>
      <c r="F15" s="31" t="s">
        <v>256</v>
      </c>
      <c r="G15" s="31" t="s">
        <v>257</v>
      </c>
      <c r="H15" s="31" t="s">
        <v>251</v>
      </c>
      <c r="I15" s="31"/>
      <c r="J15" s="31"/>
      <c r="K15" s="31"/>
      <c r="L15" s="31"/>
      <c r="M15" s="31"/>
      <c r="N15" s="31"/>
      <c r="O15" s="25"/>
      <c r="P15" s="31"/>
      <c r="Q15" s="31" t="s">
        <v>258</v>
      </c>
      <c r="R15" s="31" t="s">
        <v>288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 t="s">
        <v>291</v>
      </c>
      <c r="AO15" s="26"/>
    </row>
    <row r="16" spans="1:41" x14ac:dyDescent="0.25">
      <c r="A16" s="30" t="str">
        <f t="shared" si="6"/>
        <v>Q6</v>
      </c>
      <c r="B16" s="30" t="s">
        <v>294</v>
      </c>
      <c r="C16" s="30"/>
      <c r="D16" s="30"/>
      <c r="E16" s="30"/>
      <c r="F16" s="31" t="s">
        <v>238</v>
      </c>
      <c r="G16" s="31" t="s">
        <v>295</v>
      </c>
      <c r="H16" s="31" t="s">
        <v>296</v>
      </c>
      <c r="I16" s="31"/>
      <c r="J16" s="31"/>
      <c r="K16" s="31"/>
      <c r="L16" s="31"/>
      <c r="M16" s="31"/>
      <c r="N16" s="31"/>
      <c r="O16" s="25"/>
      <c r="P16" s="31"/>
      <c r="Q16" s="31"/>
      <c r="R16" s="31"/>
      <c r="S16" s="31"/>
      <c r="T16" s="31"/>
      <c r="U16" s="31">
        <v>0</v>
      </c>
      <c r="V16" s="25">
        <v>0</v>
      </c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31" t="s">
        <v>298</v>
      </c>
      <c r="AM16" s="25"/>
      <c r="AN16" s="25"/>
      <c r="AO16" s="26"/>
    </row>
    <row r="17" spans="3:41" x14ac:dyDescent="0.25">
      <c r="C17" s="22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3:41" x14ac:dyDescent="0.25">
      <c r="C18" s="22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3:41" x14ac:dyDescent="0.25">
      <c r="C19" s="22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3:41" x14ac:dyDescent="0.25">
      <c r="C20" s="22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3:41" x14ac:dyDescent="0.25">
      <c r="C21" s="22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3:41" x14ac:dyDescent="0.25">
      <c r="C22" s="22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3:41" x14ac:dyDescent="0.25">
      <c r="C23" s="22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3:41" x14ac:dyDescent="0.25">
      <c r="C24" s="22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3:41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6"/>
    </row>
    <row r="26" spans="3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3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3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3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3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3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3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  <row r="674" spans="3:41" x14ac:dyDescent="0.25">
      <c r="C674" s="22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6"/>
    </row>
  </sheetData>
  <conditionalFormatting sqref="A1">
    <cfRule type="duplicateValues" dxfId="7" priority="5"/>
  </conditionalFormatting>
  <conditionalFormatting sqref="A13">
    <cfRule type="duplicateValues" dxfId="6" priority="3"/>
    <cfRule type="duplicateValues" dxfId="5" priority="4"/>
  </conditionalFormatting>
  <conditionalFormatting sqref="A14:A15 A5:A12">
    <cfRule type="duplicateValues" dxfId="4" priority="22"/>
    <cfRule type="duplicateValues" dxfId="3" priority="23"/>
  </conditionalFormatting>
  <conditionalFormatting sqref="A17:A1048576 A2:A4">
    <cfRule type="duplicateValues" dxfId="2" priority="12"/>
  </conditionalFormatting>
  <conditionalFormatting sqref="A16">
    <cfRule type="duplicateValues" dxfId="1" priority="2"/>
  </conditionalFormatting>
  <conditionalFormatting sqref="A16">
    <cfRule type="duplicateValues" dxfId="0" priority="1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12</vt:i4>
      </vt:variant>
    </vt:vector>
  </HeadingPairs>
  <TitlesOfParts>
    <vt:vector size="15" baseType="lpstr">
      <vt:lpstr>Config</vt:lpstr>
      <vt:lpstr>Macro</vt:lpstr>
      <vt:lpstr>Questions</vt:lpstr>
      <vt:lpstr>R_miss_rec_val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2023-09-04T13:07:49Z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