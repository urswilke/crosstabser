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K:\Projects\UW git\crosstabser\tests\testthat\excel\"/>
    </mc:Choice>
  </mc:AlternateContent>
  <xr:revisionPtr revIDLastSave="0" documentId="13_ncr:1_{9AF88102-75E1-405C-94A3-FD14BDAD0FCA}" xr6:coauthVersionLast="47" xr6:coauthVersionMax="47" xr10:uidLastSave="{00000000-0000-0000-0000-000000000000}"/>
  <bookViews>
    <workbookView xWindow="-120" yWindow="-120" windowWidth="29040" windowHeight="15045" tabRatio="500" activeTab="2" xr2:uid="{00000000-000D-0000-FFFF-FFFF00000000}"/>
  </bookViews>
  <sheets>
    <sheet name="Config" sheetId="1" r:id="rId1"/>
    <sheet name="Macro" sheetId="2" r:id="rId2"/>
    <sheet name="Questions" sheetId="3" r:id="rId3"/>
  </sheets>
  <externalReferences>
    <externalReference r:id="rId4"/>
  </externalReferences>
  <definedNames>
    <definedName name="R_miss_rec_val">Config!$B$35</definedName>
    <definedName name="V_Datum">Config!$B$18</definedName>
    <definedName name="V_ErrCountLog10">#REF!</definedName>
    <definedName name="V_ErrCountLog20">#REF!</definedName>
    <definedName name="V_ErrCountLog40">#REF!</definedName>
    <definedName name="V_ErrCountLog40Warn">#REF!</definedName>
    <definedName name="V_Language">Config!$B$15</definedName>
    <definedName name="V_Lexikon">#REF!</definedName>
    <definedName name="V_Namenszusatz">Config!$B$17</definedName>
    <definedName name="V_Projektleiter">Config!$B$39</definedName>
    <definedName name="V_ProjektleiterCol">Config!$C$39</definedName>
    <definedName name="V_Projektname">Config!$B$21</definedName>
    <definedName name="V_Projektverzeichnis">Config!$B$20</definedName>
    <definedName name="V_Scenario">Config!$B$16</definedName>
    <definedName name="V_ScenDetail">#REF!</definedName>
    <definedName name="V_ScenName">Config!$C$16</definedName>
    <definedName name="V_TemplatePath">Config!$B$27</definedName>
    <definedName name="V_Variablen">#REF!</definedName>
    <definedName name="V_XMLName">Config!$B$23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22" i="3" l="1"/>
  <c r="A24" i="3"/>
  <c r="A23" i="3"/>
  <c r="A21" i="3"/>
  <c r="A20" i="3"/>
  <c r="A19" i="3"/>
  <c r="A18" i="3" l="1"/>
  <c r="A17" i="3" l="1"/>
  <c r="A9" i="3"/>
  <c r="A16" i="3"/>
  <c r="A12" i="3"/>
  <c r="A8" i="3"/>
  <c r="A15" i="3"/>
  <c r="A13" i="3"/>
  <c r="A11" i="3"/>
  <c r="A10" i="3"/>
  <c r="A14" i="3" l="1"/>
  <c r="A7" i="3"/>
  <c r="A6" i="3"/>
  <c r="A5" i="3"/>
  <c r="F5" i="2"/>
  <c r="B34" i="1"/>
  <c r="B33" i="1"/>
  <c r="B25" i="1"/>
  <c r="B24" i="1"/>
  <c r="B2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Wolf Wilke</author>
    <author>wolf</author>
  </authors>
  <commentList>
    <comment ref="A23" authorId="0" shapeId="0" xr:uid="{55BAE0B3-D31C-4026-AEC7-838494A478E9}">
      <text>
        <r>
          <rPr>
            <sz val="9"/>
            <color indexed="81"/>
            <rFont val="Segoe UI"/>
            <family val="2"/>
          </rPr>
          <t>Name of XML file with table date, to be appended by '&lt;QuestNo&gt;.xml'</t>
        </r>
      </text>
    </comment>
    <comment ref="B35" authorId="1" shapeId="0" xr:uid="{C66B2E7D-D0C0-4A6E-9EDE-30A8B5CC27E2}">
      <text>
        <r>
          <rPr>
            <b/>
            <sz val="9"/>
            <color indexed="81"/>
            <rFont val="Segoe UI"/>
            <family val="2"/>
          </rPr>
          <t>wolf:</t>
        </r>
        <r>
          <rPr>
            <sz val="9"/>
            <color indexed="81"/>
            <rFont val="Segoe UI"/>
            <family val="2"/>
          </rPr>
          <t xml:space="preserve">
set all system missing values to this value, leave empty to keep them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wolf</author>
    <author>Wolf Wilke</author>
  </authors>
  <commentList>
    <comment ref="N1" authorId="0" shapeId="0" xr:uid="{96CDD435-964E-43DC-B99A-BD1A54660D02}">
      <text>
        <r>
          <rPr>
            <b/>
            <sz val="9"/>
            <color indexed="81"/>
            <rFont val="Segoe UI"/>
            <family val="2"/>
          </rPr>
          <t>wolf:</t>
        </r>
        <r>
          <rPr>
            <sz val="9"/>
            <color indexed="81"/>
            <rFont val="Segoe UI"/>
            <family val="2"/>
          </rPr>
          <t xml:space="preserve">
Sx - Mean with x decimals
Mx - Median with x decimals
Tx - Total with x decimals
Pnnx - nn Percentile with x decimals
most common: S1M0</t>
        </r>
      </text>
    </comment>
    <comment ref="U1" authorId="0" shapeId="0" xr:uid="{C19D0D3D-83AC-471F-A4E6-91A347CA9784}">
      <text>
        <r>
          <rPr>
            <b/>
            <sz val="9"/>
            <color indexed="81"/>
            <rFont val="Segoe UI"/>
            <family val="2"/>
          </rPr>
          <t>wolf:</t>
        </r>
        <r>
          <rPr>
            <sz val="9"/>
            <color indexed="81"/>
            <rFont val="Segoe UI"/>
            <family val="2"/>
          </rPr>
          <t xml:space="preserve">
0 for no summary of means at "mw" type</t>
        </r>
      </text>
    </comment>
    <comment ref="V1" authorId="0" shapeId="0" xr:uid="{8DC7DA0D-8C0B-4F54-8F4D-F3B13EE8245B}">
      <text>
        <r>
          <rPr>
            <b/>
            <sz val="9"/>
            <color indexed="81"/>
            <rFont val="Segoe UI"/>
            <family val="2"/>
          </rPr>
          <t>wolf:</t>
        </r>
        <r>
          <rPr>
            <sz val="9"/>
            <color indexed="81"/>
            <rFont val="Segoe UI"/>
            <family val="2"/>
          </rPr>
          <t xml:space="preserve">
0 for no detail tables of variables at "mw" type</t>
        </r>
      </text>
    </comment>
    <comment ref="AN1" authorId="1" shapeId="0" xr:uid="{84B1C0C4-5417-4A22-AC3E-42C76CAD2887}">
      <text>
        <r>
          <rPr>
            <sz val="9"/>
            <color indexed="81"/>
            <rFont val="Segoe UI"/>
            <family val="2"/>
          </rPr>
          <t>add space separated values (mcg) or variables (mdg) for exclusive options - these will be set to missing / 0 if any other value is mentioned</t>
        </r>
      </text>
    </comment>
  </commentList>
</comments>
</file>

<file path=xl/sharedStrings.xml><?xml version="1.0" encoding="utf-8"?>
<sst xmlns="http://schemas.openxmlformats.org/spreadsheetml/2006/main" count="831" uniqueCount="327">
  <si>
    <t>Make script</t>
  </si>
  <si>
    <t>Make script and run the script</t>
  </si>
  <si>
    <t>Superpower buttons</t>
  </si>
  <si>
    <t>Log</t>
  </si>
  <si>
    <t>Error count</t>
  </si>
  <si>
    <t>Last run</t>
  </si>
  <si>
    <t>Ignore these errors:</t>
  </si>
  <si>
    <t>Log10</t>
  </si>
  <si>
    <t>Log20</t>
  </si>
  <si>
    <t>Log40</t>
  </si>
  <si>
    <t>Log40Warn</t>
  </si>
  <si>
    <t>Excel</t>
  </si>
  <si>
    <t>Version</t>
  </si>
  <si>
    <t>Language</t>
  </si>
  <si>
    <t>Scenario</t>
  </si>
  <si>
    <t>Standard</t>
  </si>
  <si>
    <t>TemplateFill</t>
  </si>
  <si>
    <t>Name addition</t>
  </si>
  <si>
    <t>Draft</t>
  </si>
  <si>
    <t>Date</t>
  </si>
  <si>
    <t>Project folder</t>
  </si>
  <si>
    <t>K:\Projects\UW fake survey\</t>
  </si>
  <si>
    <t>Project name</t>
  </si>
  <si>
    <t>test</t>
  </si>
  <si>
    <t>Table book name</t>
  </si>
  <si>
    <t>Data name</t>
  </si>
  <si>
    <t>Result name</t>
  </si>
  <si>
    <t>Template path</t>
  </si>
  <si>
    <t>K:\Tools\Tabellenband\</t>
  </si>
  <si>
    <t>Excel template</t>
  </si>
  <si>
    <t>K:\Tools\Tabellenband\Excel\EinAusblenden Entwicklung.xlsm</t>
  </si>
  <si>
    <t>SPSS layout</t>
  </si>
  <si>
    <t>K:\Tools\Tabellenband\SPSS\Tablebook.stt</t>
  </si>
  <si>
    <t>R command</t>
  </si>
  <si>
    <t>"C:\Program Files\R\R-3.5.2\bin\x64\Rterm.exe" --no-save --no-restore --silent --ess</t>
  </si>
  <si>
    <t>PDF</t>
  </si>
  <si>
    <t>Percent values multiplicator</t>
  </si>
  <si>
    <t>Percent values format</t>
  </si>
  <si>
    <t>0.0</t>
  </si>
  <si>
    <t>Project leader column</t>
  </si>
  <si>
    <t>Project leader</t>
  </si>
  <si>
    <t>UW</t>
  </si>
  <si>
    <t>© 2008-2016 Wolf Wilke</t>
  </si>
  <si>
    <t>All rights reserved. May be used free of charge by members of the DATA-Connection.</t>
  </si>
  <si>
    <t>Further use and redistribution without prior written permission by the copyright holder prohibited.</t>
  </si>
  <si>
    <t>Please contact Wolf Wilke per mail to wilke@data-connection.de for any question.</t>
  </si>
  <si>
    <t>ParameterName</t>
  </si>
  <si>
    <t>Description1</t>
  </si>
  <si>
    <t>Description2</t>
  </si>
  <si>
    <t>Description3</t>
  </si>
  <si>
    <t>Value1</t>
  </si>
  <si>
    <t>Value2</t>
  </si>
  <si>
    <t>Value3</t>
  </si>
  <si>
    <t>Value4</t>
  </si>
  <si>
    <t>Value5</t>
  </si>
  <si>
    <t>Value6</t>
  </si>
  <si>
    <t>Value7</t>
  </si>
  <si>
    <t>Value8</t>
  </si>
  <si>
    <t>Value9</t>
  </si>
  <si>
    <t>Value10</t>
  </si>
  <si>
    <t>Value11</t>
  </si>
  <si>
    <t>Value12</t>
  </si>
  <si>
    <t>Value13</t>
  </si>
  <si>
    <t>Value14</t>
  </si>
  <si>
    <t>Value15</t>
  </si>
  <si>
    <t>Value16</t>
  </si>
  <si>
    <t>Value17</t>
  </si>
  <si>
    <t>Value18</t>
  </si>
  <si>
    <t>Value19</t>
  </si>
  <si>
    <t>Value20</t>
  </si>
  <si>
    <t>Value21</t>
  </si>
  <si>
    <t>Value22</t>
  </si>
  <si>
    <t>Value23</t>
  </si>
  <si>
    <t>Value24</t>
  </si>
  <si>
    <t>Value25</t>
  </si>
  <si>
    <t>Value26</t>
  </si>
  <si>
    <t>Value27</t>
  </si>
  <si>
    <t>Value28</t>
  </si>
  <si>
    <t>Value29</t>
  </si>
  <si>
    <t>Value30</t>
  </si>
  <si>
    <t>Value31</t>
  </si>
  <si>
    <t>Value32</t>
  </si>
  <si>
    <t>Value33</t>
  </si>
  <si>
    <t>Value34</t>
  </si>
  <si>
    <t>Value35</t>
  </si>
  <si>
    <t>Value36</t>
  </si>
  <si>
    <t>Value37</t>
  </si>
  <si>
    <t>Value38</t>
  </si>
  <si>
    <t>Value39</t>
  </si>
  <si>
    <t>Value40</t>
  </si>
  <si>
    <t>Value41</t>
  </si>
  <si>
    <t>Value42</t>
  </si>
  <si>
    <t>Value43</t>
  </si>
  <si>
    <t>Value44</t>
  </si>
  <si>
    <t>Value45</t>
  </si>
  <si>
    <t>Value46</t>
  </si>
  <si>
    <t>Value47</t>
  </si>
  <si>
    <t>Value48</t>
  </si>
  <si>
    <t>Value49</t>
  </si>
  <si>
    <t>Value50</t>
  </si>
  <si>
    <t>Scenario 2</t>
  </si>
  <si>
    <t>Scenario 3</t>
  </si>
  <si>
    <t>Scenario 4</t>
  </si>
  <si>
    <t>Scenario 5</t>
  </si>
  <si>
    <t>Scenario 6</t>
  </si>
  <si>
    <t>Scenario 7</t>
  </si>
  <si>
    <t>Scenario 8</t>
  </si>
  <si>
    <t>Scenario 9</t>
  </si>
  <si>
    <t>Scenario 10</t>
  </si>
  <si>
    <t>Scenario 11</t>
  </si>
  <si>
    <t>Scenario 12</t>
  </si>
  <si>
    <t>Scenario 13</t>
  </si>
  <si>
    <t>Scenario 14</t>
  </si>
  <si>
    <t>Scenario 15</t>
  </si>
  <si>
    <t>Scenario 16</t>
  </si>
  <si>
    <t>Scenario 17</t>
  </si>
  <si>
    <t>Scenario 18</t>
  </si>
  <si>
    <t>Scenario 19</t>
  </si>
  <si>
    <t>Scenario 20</t>
  </si>
  <si>
    <t>Scenario 21</t>
  </si>
  <si>
    <t>Scenario 22</t>
  </si>
  <si>
    <t>Scenario 23</t>
  </si>
  <si>
    <t>Scenario 24</t>
  </si>
  <si>
    <t>Scenario 25</t>
  </si>
  <si>
    <t>Scenario 26</t>
  </si>
  <si>
    <t>Scenario 27</t>
  </si>
  <si>
    <t>Scenario 28</t>
  </si>
  <si>
    <t>Scenario 29</t>
  </si>
  <si>
    <t>Scenario 30</t>
  </si>
  <si>
    <t>Scenario 31</t>
  </si>
  <si>
    <t>Scenario 32</t>
  </si>
  <si>
    <t>Scenario 33</t>
  </si>
  <si>
    <t>Scenario 34</t>
  </si>
  <si>
    <t>Scenario 35</t>
  </si>
  <si>
    <t>Scenario 36</t>
  </si>
  <si>
    <t>Scenario 37</t>
  </si>
  <si>
    <t>Scenario 38</t>
  </si>
  <si>
    <t>Scenario 39</t>
  </si>
  <si>
    <t>Scenario 40</t>
  </si>
  <si>
    <t>Scenario 41</t>
  </si>
  <si>
    <t>Scenario 42</t>
  </si>
  <si>
    <t>Scenario 43</t>
  </si>
  <si>
    <t>Scenario 44</t>
  </si>
  <si>
    <t>Scenario 45</t>
  </si>
  <si>
    <t>Scenario 46</t>
  </si>
  <si>
    <t>Scenario 47</t>
  </si>
  <si>
    <t>Scenario 48</t>
  </si>
  <si>
    <t>Scenario 49</t>
  </si>
  <si>
    <t>Scenario 50</t>
  </si>
  <si>
    <t>Header variables</t>
  </si>
  <si>
    <t>space-separated list of header variables</t>
  </si>
  <si>
    <t>q2 q3</t>
  </si>
  <si>
    <t>Invalid values</t>
  </si>
  <si>
    <t>values which should be treated as invalid (comma-separated list, ranges with /)</t>
  </si>
  <si>
    <t>-1,-2,-999/-199</t>
  </si>
  <si>
    <t>Miss2</t>
  </si>
  <si>
    <t>Invalid value 2</t>
  </si>
  <si>
    <t>x</t>
  </si>
  <si>
    <t>Miss3</t>
  </si>
  <si>
    <t>Invalid value 3</t>
  </si>
  <si>
    <t>Overall filter</t>
  </si>
  <si>
    <t>overall filter definition</t>
  </si>
  <si>
    <t>q2 = 1</t>
  </si>
  <si>
    <t>TitelCount</t>
  </si>
  <si>
    <t>add enumeration a,b,c,… for detail mw tables</t>
  </si>
  <si>
    <t>not yet implemented</t>
  </si>
  <si>
    <t>hsort</t>
  </si>
  <si>
    <t>Unweight</t>
  </si>
  <si>
    <t>if true, show also unweighted numbers in weighted tables</t>
  </si>
  <si>
    <t>UnwgtTC</t>
  </si>
  <si>
    <t>Weight</t>
  </si>
  <si>
    <t>variable for weight</t>
  </si>
  <si>
    <t>WeightLab</t>
  </si>
  <si>
    <t>take label of weight variable</t>
  </si>
  <si>
    <t>TotalLab</t>
  </si>
  <si>
    <t>label for "TOTAL" column</t>
  </si>
  <si>
    <t>TotalFilter</t>
  </si>
  <si>
    <t>filter for "TOTAL" column</t>
  </si>
  <si>
    <t>if not all cases in Total column</t>
  </si>
  <si>
    <t>1=1</t>
  </si>
  <si>
    <t>MissingFormat</t>
  </si>
  <si>
    <t>'.'</t>
  </si>
  <si>
    <t>NullFormat</t>
  </si>
  <si>
    <t>RemoveEmpty</t>
  </si>
  <si>
    <t>if "INCLUDE", show empty rows, if "EXCLUDE", hide them</t>
  </si>
  <si>
    <t>INCLUDE</t>
  </si>
  <si>
    <t>Freq</t>
  </si>
  <si>
    <t>number of detail tables to show (in "MW"-type or "CAT" with several variables)</t>
  </si>
  <si>
    <t>good for testing when set to 1</t>
  </si>
  <si>
    <t>c1ges</t>
  </si>
  <si>
    <t>r1ges</t>
  </si>
  <si>
    <t>leerz</t>
  </si>
  <si>
    <t>semw</t>
  </si>
  <si>
    <t>Zsfg</t>
  </si>
  <si>
    <t xml:space="preserve"> [COUNT 'abs' DOT40.0 COLPCT 'in %' ]</t>
  </si>
  <si>
    <t>MWStat</t>
  </si>
  <si>
    <t>rows in summary of statistics-tables ("MW")</t>
  </si>
  <si>
    <t>S=Mean, E=std. err, M=Median, T=Sum, A=Maximum, I=Minium, Pxx for percentile, V=Valid cases + number of decimals + label in ''</t>
  </si>
  <si>
    <t>S1E2P500'Median'</t>
  </si>
  <si>
    <t>S1V0</t>
  </si>
  <si>
    <t>ZsfgMFA</t>
  </si>
  <si>
    <t xml:space="preserve"> [COUNT 'abs' DOT40.0 COLPCT 'in %' TOTALS [RESPONSES 'abs' DOT40.0]]</t>
  </si>
  <si>
    <t>NoVLab</t>
  </si>
  <si>
    <t>CountDuplicates</t>
  </si>
  <si>
    <t>only for mcg</t>
  </si>
  <si>
    <t>NO</t>
  </si>
  <si>
    <t>cTabGesamt</t>
  </si>
  <si>
    <t>terms for table parts</t>
  </si>
  <si>
    <t>cTabGesamtMFA</t>
  </si>
  <si>
    <t>"</t>
  </si>
  <si>
    <t>cTabGueltig</t>
  </si>
  <si>
    <t>cTabGesamtMW</t>
  </si>
  <si>
    <t>cTabZsfg</t>
  </si>
  <si>
    <t>cTabMeanOV</t>
  </si>
  <si>
    <t>cTabMean</t>
  </si>
  <si>
    <t>cTabNoEntry</t>
  </si>
  <si>
    <t>cTabMedian</t>
  </si>
  <si>
    <t>cTabFilter</t>
  </si>
  <si>
    <t>cTabSum</t>
  </si>
  <si>
    <t>WeightedBy</t>
  </si>
  <si>
    <t>And</t>
  </si>
  <si>
    <t xml:space="preserve"> und </t>
  </si>
  <si>
    <t>Abbreviation</t>
  </si>
  <si>
    <t>Title</t>
  </si>
  <si>
    <t>Type</t>
  </si>
  <si>
    <t>Filter</t>
  </si>
  <si>
    <t>CatRec</t>
  </si>
  <si>
    <t>CatLab</t>
  </si>
  <si>
    <t>Sort</t>
  </si>
  <si>
    <t>SelVar</t>
  </si>
  <si>
    <t>SelVal</t>
  </si>
  <si>
    <t>MW</t>
  </si>
  <si>
    <t>MdgVal</t>
  </si>
  <si>
    <t>MdgMissLab</t>
  </si>
  <si>
    <t>MdgMissValid</t>
  </si>
  <si>
    <t>Mult</t>
  </si>
  <si>
    <t>Categories</t>
  </si>
  <si>
    <t>cat</t>
  </si>
  <si>
    <t>mw</t>
  </si>
  <si>
    <t>Miss1</t>
  </si>
  <si>
    <t>RowVar</t>
  </si>
  <si>
    <t>Unguelt</t>
  </si>
  <si>
    <t>MWRec</t>
  </si>
  <si>
    <t>UngueltMW</t>
  </si>
  <si>
    <t>MetrMac</t>
  </si>
  <si>
    <t>Fussnote</t>
  </si>
  <si>
    <t>MeanOverviewLabel</t>
  </si>
  <si>
    <t>RvEmp</t>
  </si>
  <si>
    <t>ZsfgMW</t>
  </si>
  <si>
    <t>gew</t>
  </si>
  <si>
    <t>1. Wie viele Mitarbeiter beschäftigt Ihr Unternehmen?</t>
  </si>
  <si>
    <t>99,-2</t>
  </si>
  <si>
    <t>2. Welche Art von Studien führen Sie mit dem Tabellenbandtool durch?' 'DC#SELVALLAB</t>
  </si>
  <si>
    <t>mdg</t>
  </si>
  <si>
    <t>3. Wie verteilten sich die Studien prozentual auf die einzelnen Arten?</t>
  </si>
  <si>
    <t>5. Was lief besonders gut in den Projekten?</t>
  </si>
  <si>
    <t>mcg</t>
  </si>
  <si>
    <t xml:space="preserve">q5n1 q5n2 q5n3 q5n4 q5n5 </t>
  </si>
  <si>
    <t>Absteigend nach Häufigkeit sortiert</t>
  </si>
  <si>
    <t>Einzelauspraegung</t>
  </si>
  <si>
    <t>RepOV</t>
  </si>
  <si>
    <t>MWVar</t>
  </si>
  <si>
    <t>Exclusive</t>
  </si>
  <si>
    <t>DEUTSCH</t>
  </si>
  <si>
    <t xml:space="preserve">q1 </t>
  </si>
  <si>
    <t xml:space="preserve">q2_01 q2_02 q2_03 q2_04 q2_05 q2_06 q2_07 </t>
  </si>
  <si>
    <t>q2_99 q2_00</t>
  </si>
  <si>
    <t xml:space="preserve">q3a q3b q3c q3d q3e q3f q3g </t>
  </si>
  <si>
    <t/>
  </si>
  <si>
    <t>ColC</t>
  </si>
  <si>
    <t>ColD</t>
  </si>
  <si>
    <t>ColE</t>
  </si>
  <si>
    <t>R</t>
  </si>
  <si>
    <t>ColP</t>
  </si>
  <si>
    <t>ColY</t>
  </si>
  <si>
    <t>ColVar</t>
  </si>
  <si>
    <t>XML name</t>
  </si>
  <si>
    <t>dev\xml\XML_test_Draft_</t>
  </si>
  <si>
    <t>kregio</t>
  </si>
  <si>
    <t>S1E2M0P250T0I0A0</t>
  </si>
  <si>
    <t>q3a q3b</t>
  </si>
  <si>
    <t>median</t>
  </si>
  <si>
    <t>Summary of Medians</t>
  </si>
  <si>
    <t xml:space="preserve">4. Wie häufig haben Sie einen Tabellenband in den letzten 12 Monaten erstellen lassen? </t>
  </si>
  <si>
    <t>q4</t>
  </si>
  <si>
    <t xml:space="preserve">(1 THRU 2 = 1) (3 THRU 5 = 2) (6 THRU HI = 3) </t>
  </si>
  <si>
    <t xml:space="preserve">1 '1-2mal' 2 '3-5mal' 3 '&gt;5mal' </t>
  </si>
  <si>
    <t>S1E2M0</t>
  </si>
  <si>
    <t>ORDER=D KEY=COUNT</t>
  </si>
  <si>
    <t>Set missing value to</t>
  </si>
  <si>
    <t>5, 2, 99,-2</t>
  </si>
  <si>
    <t>5, 2</t>
  </si>
  <si>
    <t>q3a</t>
  </si>
  <si>
    <t xml:space="preserve">q3a </t>
  </si>
  <si>
    <t>6. Ich nenne Ihnen gleich einige generelle Merkmale, die bei quantitativen Forschungsprojekten eine Rolle spielen. Bitte stufen Sie die Wichtigkeit ein.</t>
  </si>
  <si>
    <t>q6a q6b q6c q6d q6e q6f q6g q6h</t>
  </si>
  <si>
    <t>98,99,-2</t>
  </si>
  <si>
    <t>S1E2</t>
  </si>
  <si>
    <t>TOP2:(4 THRU 5=100) (1 THRU 5=0)|TOP1:(5=100) (1 THRU 5=0)</t>
  </si>
  <si>
    <t>(0 THRU 50 = -2)</t>
  </si>
  <si>
    <t>1 THRU 2, 4</t>
  </si>
  <si>
    <t>q6a</t>
  </si>
  <si>
    <t xml:space="preserve">(1 THRU 2=1) (3=2) (4 THRU 5=3)  | (1 THRU 2=1) (3=3) (4=4) (5=5) </t>
  </si>
  <si>
    <t>1 '1 und 2' 2 '3' 3 '4 und 5' | 1 '1 und 2' 3 '3' 4 '4' 5 '5'</t>
  </si>
  <si>
    <t>9. Würden Sie das Tabellenbandtool weiterempfehlen?' 'DC#SELVALLAB</t>
  </si>
  <si>
    <t>(0 THRU 6=3) (7,8=2) (9,10=1) {[1]-[3]='NPS'}</t>
  </si>
  <si>
    <t>1 'Promoters' 2 'Indifferent' 3 'Detractors'</t>
  </si>
  <si>
    <t>q91</t>
  </si>
  <si>
    <t>q91 q92</t>
  </si>
  <si>
    <t>sel0 sel1</t>
  </si>
  <si>
    <t>1 2 3-6:Sonstige</t>
  </si>
  <si>
    <t>sel0</t>
  </si>
  <si>
    <t>q92</t>
  </si>
  <si>
    <t>sel1</t>
  </si>
  <si>
    <t xml:space="preserve">q2_01 q2_02 q2_03 q2_04 q2_05 q2_06 </t>
  </si>
  <si>
    <t xml:space="preserve">q5n1 q5n2 q5n3 q5n4 </t>
  </si>
  <si>
    <t>NOT CHECKED: 2. Welche Art von Studien führen Sie mit dem Tabellenbandtool durch?' 'DC#SELVALLAB</t>
  </si>
  <si>
    <t>NOT CHECKED: 5. Was lief besonders gut in den Projekten?</t>
  </si>
  <si>
    <t>7. Für die abgefragten Studienarten: Wie zufrieden sind Sie mit dem Tabellenbandtool bezüglich der eben abgefragten Merkmale?' 'DC#SELVALLAB</t>
  </si>
  <si>
    <t>(1 THRU 4=1) (5 THRU 7=2) (8 THRU 10=3)</t>
  </si>
  <si>
    <t>1 '1 bis 4' 2 '5 bis 7' 3 '8 bis 10'</t>
  </si>
  <si>
    <t>2 3-6:Sonstige</t>
  </si>
  <si>
    <t>TOP3:(8 THRU 10=100) (1 THRU 10=0)</t>
  </si>
  <si>
    <t>q7a1 q7a2 q7b1 q7b2</t>
  </si>
  <si>
    <t>With Unguelt: 2. Welche Art von Studien führen Sie mit dem Tabellenbandtool durch?' 'DC#SELVALLAB</t>
  </si>
  <si>
    <t xml:space="preserve">q2_99 q2_00 q2_99 q2_00 </t>
  </si>
  <si>
    <t xml:space="preserve">q2_01 q2_02 q2_03 q2_04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</si>
</sst>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\ hh:mm"/>
  </numFmts>
  <fonts count="11" x14ac:knownFonts="1"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b/>
      <sz val="10"/>
      <name val="Arial"/>
      <family val="2"/>
      <charset val="1"/>
    </font>
    <font>
      <sz val="10"/>
      <color rgb="FFBFBFBF"/>
      <name val="Arial"/>
      <family val="2"/>
      <charset val="1"/>
    </font>
    <font>
      <sz val="10"/>
      <color rgb="FFFF0000"/>
      <name val="Arial"/>
      <family val="2"/>
      <charset val="1"/>
    </font>
    <font>
      <b/>
      <sz val="10"/>
      <color rgb="FFFFFFFF"/>
      <name val="Arial"/>
      <family val="2"/>
      <charset val="1"/>
    </font>
    <font>
      <sz val="10"/>
      <color rgb="FFFFFFFF"/>
      <name val="Arial"/>
      <family val="2"/>
      <charset val="1"/>
    </font>
    <font>
      <b/>
      <sz val="10"/>
      <color theme="0"/>
      <name val="Arial"/>
      <family val="2"/>
    </font>
    <font>
      <sz val="10"/>
      <name val="Arial"/>
      <family val="2"/>
    </font>
    <font>
      <b/>
      <sz val="9"/>
      <color indexed="81"/>
      <name val="Segoe UI"/>
      <family val="2"/>
    </font>
    <font>
      <sz val="9"/>
      <color indexed="81"/>
      <name val="Segoe UI"/>
      <family val="2"/>
    </font>
  </fonts>
  <fills count="18">
    <fill>
      <patternFill patternType="none"/>
    </fill>
    <fill>
      <patternFill patternType="gray125"/>
    </fill>
    <fill>
      <patternFill patternType="solid">
        <fgColor rgb="FFFFFFFF"/>
        <bgColor rgb="FFEDEDED"/>
      </patternFill>
    </fill>
    <fill>
      <patternFill patternType="solid">
        <fgColor rgb="FFDBDBDB"/>
        <bgColor rgb="FFDEEBF7"/>
      </patternFill>
    </fill>
    <fill>
      <patternFill patternType="solid">
        <fgColor rgb="FFEDEDED"/>
        <bgColor rgb="FFDEEBF7"/>
      </patternFill>
    </fill>
    <fill>
      <patternFill patternType="solid">
        <fgColor rgb="FFF10D0C"/>
        <bgColor rgb="FFFF0000"/>
      </patternFill>
    </fill>
    <fill>
      <patternFill patternType="solid">
        <fgColor rgb="FF000000"/>
        <bgColor rgb="FF003300"/>
      </patternFill>
    </fill>
    <fill>
      <patternFill patternType="solid">
        <fgColor rgb="FFADB9CA"/>
        <bgColor rgb="FFBFBFBF"/>
      </patternFill>
    </fill>
    <fill>
      <patternFill patternType="solid">
        <fgColor rgb="FF00B050"/>
        <bgColor rgb="FF008080"/>
      </patternFill>
    </fill>
    <fill>
      <patternFill patternType="solid">
        <fgColor rgb="FFB4C7E7"/>
        <bgColor rgb="FFADB9CA"/>
      </patternFill>
    </fill>
    <fill>
      <patternFill patternType="solid">
        <fgColor rgb="FFFFFF00"/>
        <bgColor rgb="FFFFFF00"/>
      </patternFill>
    </fill>
    <fill>
      <patternFill patternType="solid">
        <fgColor rgb="FFDEEBF7"/>
        <bgColor rgb="FFEDEDED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7">
    <xf numFmtId="0" fontId="0" fillId="0" borderId="0" xfId="0"/>
    <xf numFmtId="0" fontId="0" fillId="2" borderId="0" xfId="0" applyFill="1"/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wrapText="1"/>
    </xf>
    <xf numFmtId="0" fontId="2" fillId="2" borderId="0" xfId="0" applyFont="1" applyFill="1" applyAlignment="1">
      <alignment horizontal="right" wrapText="1"/>
    </xf>
    <xf numFmtId="0" fontId="2" fillId="2" borderId="0" xfId="0" applyFont="1" applyFill="1"/>
    <xf numFmtId="164" fontId="0" fillId="2" borderId="0" xfId="0" applyNumberFormat="1" applyFill="1"/>
    <xf numFmtId="0" fontId="0" fillId="3" borderId="0" xfId="0" applyFill="1"/>
    <xf numFmtId="0" fontId="1" fillId="3" borderId="0" xfId="0" applyFont="1" applyFill="1"/>
    <xf numFmtId="0" fontId="1" fillId="2" borderId="0" xfId="0" applyFont="1" applyFill="1" applyAlignment="1">
      <alignment vertical="center"/>
    </xf>
    <xf numFmtId="0" fontId="1" fillId="2" borderId="0" xfId="0" applyFont="1" applyFill="1"/>
    <xf numFmtId="0" fontId="0" fillId="4" borderId="0" xfId="0" applyFill="1"/>
    <xf numFmtId="0" fontId="3" fillId="2" borderId="0" xfId="0" applyFont="1" applyFill="1"/>
    <xf numFmtId="0" fontId="4" fillId="2" borderId="0" xfId="0" applyFont="1" applyFill="1"/>
    <xf numFmtId="0" fontId="1" fillId="4" borderId="0" xfId="1" applyFill="1"/>
    <xf numFmtId="0" fontId="1" fillId="0" borderId="0" xfId="1"/>
    <xf numFmtId="0" fontId="5" fillId="5" borderId="0" xfId="1" applyFont="1" applyFill="1"/>
    <xf numFmtId="0" fontId="6" fillId="6" borderId="0" xfId="1" applyFont="1" applyFill="1"/>
    <xf numFmtId="0" fontId="1" fillId="7" borderId="0" xfId="1" applyFill="1"/>
    <xf numFmtId="0" fontId="1" fillId="8" borderId="0" xfId="1" applyFill="1"/>
    <xf numFmtId="0" fontId="1" fillId="9" borderId="0" xfId="1" applyFill="1"/>
    <xf numFmtId="0" fontId="1" fillId="10" borderId="0" xfId="1" applyFill="1"/>
    <xf numFmtId="0" fontId="1" fillId="3" borderId="0" xfId="1" applyFill="1"/>
    <xf numFmtId="0" fontId="4" fillId="3" borderId="0" xfId="1" applyFont="1" applyFill="1"/>
    <xf numFmtId="0" fontId="5" fillId="6" borderId="0" xfId="1" applyFont="1" applyFill="1"/>
    <xf numFmtId="0" fontId="1" fillId="4" borderId="0" xfId="0" applyFont="1" applyFill="1"/>
    <xf numFmtId="0" fontId="1" fillId="11" borderId="0" xfId="1" applyFill="1"/>
    <xf numFmtId="0" fontId="1" fillId="12" borderId="0" xfId="1" applyFill="1"/>
    <xf numFmtId="0" fontId="7" fillId="13" borderId="0" xfId="1" applyFont="1" applyFill="1"/>
    <xf numFmtId="0" fontId="1" fillId="14" borderId="0" xfId="1" applyFill="1"/>
    <xf numFmtId="0" fontId="1" fillId="15" borderId="0" xfId="1" applyFill="1"/>
    <xf numFmtId="0" fontId="8" fillId="14" borderId="0" xfId="0" applyFont="1" applyFill="1"/>
    <xf numFmtId="0" fontId="7" fillId="13" borderId="0" xfId="1" quotePrefix="1" applyFont="1" applyFill="1"/>
    <xf numFmtId="0" fontId="8" fillId="16" borderId="0" xfId="0" applyFont="1" applyFill="1"/>
    <xf numFmtId="0" fontId="1" fillId="17" borderId="0" xfId="1" applyFill="1"/>
    <xf numFmtId="0" fontId="1" fillId="7" borderId="0" xfId="1" applyFill="1" applyAlignment="1">
      <alignment horizontal="center" vertical="center"/>
    </xf>
    <xf numFmtId="0" fontId="1" fillId="7" borderId="0" xfId="1" applyFill="1" applyAlignment="1">
      <alignment horizontal="left" vertical="center"/>
    </xf>
  </cellXfs>
  <cellStyles count="2">
    <cellStyle name="Standard" xfId="0" builtinId="0"/>
    <cellStyle name="Standard 2 3" xfId="1" xr:uid="{00000000-0005-0000-0000-000006000000}"/>
  </cellStyles>
  <dxfs count="2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505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DEDED"/>
      <rgbColor rgb="FFDEEBF7"/>
      <rgbColor rgb="FF660066"/>
      <rgbColor rgb="FFFF7C80"/>
      <rgbColor rgb="FF0066CC"/>
      <rgbColor rgb="FFB4C7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DBDBDB"/>
      <rgbColor rgb="FFFFFF99"/>
      <rgbColor rgb="FFADB9CA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5050"/>
      <rgbColor rgb="FF666699"/>
      <rgbColor rgb="FF969696"/>
      <rgbColor rgb="FF003366"/>
      <rgbColor rgb="FF00B050"/>
      <rgbColor rgb="FF003300"/>
      <rgbColor rgb="FF333300"/>
      <rgbColor rgb="FFF10D0C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trlProps/ctrlProp1.xml><?xml version="1.0" encoding="utf-8"?>
<formControlPr xmlns="http://schemas.microsoft.com/office/spreadsheetml/2009/9/main" objectType="Drop" dropLines="40" dropStyle="combo" dx="16" fmlaRange="[1]!V_TemplateFill" noThreeD="1" sel="0" val="0"/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390600</xdr:colOff>
      <xdr:row>27</xdr:row>
      <xdr:rowOff>132945</xdr:rowOff>
    </xdr:from>
    <xdr:to>
      <xdr:col>3</xdr:col>
      <xdr:colOff>117000</xdr:colOff>
      <xdr:row>36</xdr:row>
      <xdr:rowOff>171450</xdr:rowOff>
    </xdr:to>
    <xdr:sp macro="" textlink="">
      <xdr:nvSpPr>
        <xdr:cNvPr id="2" name="CustomShap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1485975" y="5076420"/>
          <a:ext cx="1802850" cy="1753005"/>
        </a:xfrm>
        <a:prstGeom prst="rect">
          <a:avLst/>
        </a:prstGeom>
        <a:solidFill>
          <a:srgbClr val="FFFFFF"/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>
          <a:noAutofit/>
        </a:bodyPr>
        <a:lstStyle/>
        <a:p>
          <a:pPr>
            <a:lnSpc>
              <a:spcPct val="100000"/>
            </a:lnSpc>
          </a:pPr>
          <a:r>
            <a:rPr lang="de-DE" sz="1100" b="0" strike="noStrike" spc="-1">
              <a:solidFill>
                <a:srgbClr val="000000"/>
              </a:solidFill>
              <a:latin typeface="Calibri"/>
            </a:rPr>
            <a:t>für die cTab-Variablen macht es vermutlich Sinn, ein Array zu übergeben, so dass man das immer problemlos erweitern kann (vgl. Lexikon in Funktionen.xlsm) - evtl. als Sheet Lexikon hier im Mapping</a:t>
          </a:r>
          <a:endParaRPr lang="en-US" sz="1100" b="0" strike="noStrike" spc="-1">
            <a:latin typeface="Times New Roman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52911</xdr:colOff>
      <xdr:row>0</xdr:row>
      <xdr:rowOff>31745</xdr:rowOff>
    </xdr:from>
    <xdr:ext cx="203246" cy="203246"/>
    <xdr:pic>
      <xdr:nvPicPr>
        <xdr:cNvPr id="2" name="TabellenErzeugen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911" y="31745"/>
          <a:ext cx="203246" cy="203246"/>
        </a:xfrm>
        <a:prstGeom prst="rect">
          <a:avLst/>
        </a:prstGeom>
      </xdr:spPr>
    </xdr:pic>
    <xdr:clientData/>
  </xdr:oneCellAnchor>
  <xdr:twoCellAnchor editAs="oneCell">
    <xdr:from>
      <xdr:col>0</xdr:col>
      <xdr:colOff>317500</xdr:colOff>
      <xdr:row>0</xdr:row>
      <xdr:rowOff>31750</xdr:rowOff>
    </xdr:from>
    <xdr:to>
      <xdr:col>1</xdr:col>
      <xdr:colOff>107996</xdr:colOff>
      <xdr:row>0</xdr:row>
      <xdr:rowOff>234996</xdr:rowOff>
    </xdr:to>
    <xdr:pic>
      <xdr:nvPicPr>
        <xdr:cNvPr id="3" name="AusgewaehlteTabellenErzeugen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500" y="31750"/>
          <a:ext cx="200071" cy="203246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352425</xdr:colOff>
          <xdr:row>0</xdr:row>
          <xdr:rowOff>47625</xdr:rowOff>
        </xdr:from>
        <xdr:to>
          <xdr:col>6</xdr:col>
          <xdr:colOff>1876425</xdr:colOff>
          <xdr:row>0</xdr:row>
          <xdr:rowOff>228600</xdr:rowOff>
        </xdr:to>
        <xdr:sp macro="" textlink="">
          <xdr:nvSpPr>
            <xdr:cNvPr id="2051" name="Drop Down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2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K:\Tools\TableBook\202304\Funktionen\Funktionen%20202304.xlsm" TargetMode="External"/><Relationship Id="rId1" Type="http://schemas.openxmlformats.org/officeDocument/2006/relationships/externalLinkPath" Target="/Tools/TableBook/202304/Funktionen/Funktionen%20202304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inweis"/>
      <sheetName val="R"/>
      <sheetName val="Vorlage Verbatims"/>
      <sheetName val="Vorgaben Questions"/>
      <sheetName val="Vorlage Tabellenband"/>
      <sheetName val="Projektleiter"/>
      <sheetName val="Lexikon"/>
      <sheetName val="TableDefinition"/>
      <sheetName val="Free Beispiele"/>
      <sheetName val="Limesurvey"/>
      <sheetName val="Funktionen 202304"/>
    </sheetNames>
    <definedNames>
      <definedName name="V_TemplateFill" refersTo="='Vorgaben Questions'!$A$4:$A$32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J45"/>
  <sheetViews>
    <sheetView topLeftCell="A8" zoomScaleNormal="100" workbookViewId="0">
      <selection activeCell="B35" sqref="B35"/>
    </sheetView>
  </sheetViews>
  <sheetFormatPr baseColWidth="10" defaultColWidth="11.42578125" defaultRowHeight="15" x14ac:dyDescent="0.25"/>
  <cols>
    <col min="1" max="1" width="22.7109375" style="1" customWidth="1"/>
    <col min="2" max="2" width="20" style="1" customWidth="1"/>
    <col min="3" max="3" width="9.7109375" style="1" customWidth="1"/>
    <col min="4" max="4" width="13" style="1" customWidth="1"/>
    <col min="5" max="5" width="12" style="1" customWidth="1"/>
    <col min="6" max="6" width="10.42578125" style="1" customWidth="1"/>
    <col min="7" max="7" width="7.7109375" style="1" customWidth="1"/>
    <col min="8" max="8" width="13.42578125" style="1" customWidth="1"/>
    <col min="9" max="14" width="11.42578125" style="1"/>
    <col min="15" max="15" width="23.140625" style="1" customWidth="1"/>
    <col min="16" max="16" width="21.28515625" style="1" customWidth="1"/>
    <col min="17" max="1024" width="11.42578125" style="1"/>
  </cols>
  <sheetData>
    <row r="1" spans="1:14" ht="26.25" x14ac:dyDescent="0.25">
      <c r="A1" s="2" t="s">
        <v>0</v>
      </c>
      <c r="B1" s="3" t="s">
        <v>1</v>
      </c>
      <c r="C1" s="4"/>
      <c r="D1" s="5" t="s">
        <v>2</v>
      </c>
      <c r="F1" s="3" t="s">
        <v>3</v>
      </c>
      <c r="G1" s="4" t="s">
        <v>4</v>
      </c>
      <c r="H1" s="4" t="s">
        <v>5</v>
      </c>
      <c r="J1" s="5" t="s">
        <v>6</v>
      </c>
    </row>
    <row r="2" spans="1:14" x14ac:dyDescent="0.25">
      <c r="J2" s="5" t="s">
        <v>7</v>
      </c>
      <c r="K2" s="5" t="s">
        <v>8</v>
      </c>
      <c r="L2" s="5" t="s">
        <v>9</v>
      </c>
      <c r="M2" s="5" t="s">
        <v>10</v>
      </c>
      <c r="N2" s="5"/>
    </row>
    <row r="3" spans="1:14" x14ac:dyDescent="0.25">
      <c r="F3" s="1" t="s">
        <v>7</v>
      </c>
      <c r="G3" s="1">
        <v>0</v>
      </c>
      <c r="H3" s="6">
        <v>44239.540474537003</v>
      </c>
      <c r="J3" s="7"/>
      <c r="K3" s="8"/>
      <c r="L3" s="7"/>
      <c r="M3" s="8"/>
      <c r="N3" s="7"/>
    </row>
    <row r="4" spans="1:14" x14ac:dyDescent="0.25">
      <c r="J4" s="7"/>
      <c r="K4" s="8"/>
      <c r="L4" s="7"/>
      <c r="M4" s="7"/>
      <c r="N4" s="7"/>
    </row>
    <row r="5" spans="1:14" x14ac:dyDescent="0.25">
      <c r="F5" s="1" t="s">
        <v>8</v>
      </c>
      <c r="G5" s="1">
        <v>0</v>
      </c>
      <c r="H5" s="6">
        <v>44239.543587963002</v>
      </c>
      <c r="J5" s="7"/>
      <c r="K5" s="8"/>
      <c r="L5" s="7"/>
      <c r="M5" s="7"/>
      <c r="N5" s="7"/>
    </row>
    <row r="6" spans="1:14" x14ac:dyDescent="0.25">
      <c r="J6" s="7"/>
      <c r="K6" s="7"/>
      <c r="L6" s="7"/>
      <c r="M6" s="7"/>
      <c r="N6" s="7"/>
    </row>
    <row r="7" spans="1:14" x14ac:dyDescent="0.25">
      <c r="F7" s="1" t="s">
        <v>9</v>
      </c>
      <c r="G7" s="1">
        <v>2</v>
      </c>
      <c r="H7" s="6">
        <v>44282.847766203697</v>
      </c>
      <c r="J7" s="7"/>
      <c r="K7" s="7"/>
      <c r="L7" s="7"/>
      <c r="M7" s="7"/>
      <c r="N7" s="7"/>
    </row>
    <row r="8" spans="1:14" x14ac:dyDescent="0.25">
      <c r="F8" s="1" t="s">
        <v>10</v>
      </c>
      <c r="G8" s="1">
        <v>0</v>
      </c>
      <c r="J8" s="7"/>
      <c r="K8" s="7"/>
      <c r="L8" s="7"/>
      <c r="M8" s="7"/>
      <c r="N8" s="7"/>
    </row>
    <row r="9" spans="1:14" ht="26.25" customHeight="1" x14ac:dyDescent="0.25">
      <c r="A9" s="9"/>
      <c r="F9" s="10" t="s">
        <v>11</v>
      </c>
      <c r="H9" s="6">
        <v>42711.501678240696</v>
      </c>
    </row>
    <row r="11" spans="1:14" x14ac:dyDescent="0.25">
      <c r="B11" s="10"/>
    </row>
    <row r="13" spans="1:14" x14ac:dyDescent="0.25">
      <c r="A13" s="10" t="s">
        <v>12</v>
      </c>
      <c r="B13" s="8">
        <v>20190118</v>
      </c>
    </row>
    <row r="15" spans="1:14" x14ac:dyDescent="0.25">
      <c r="A15" s="10" t="s">
        <v>13</v>
      </c>
      <c r="B15" s="7">
        <v>2</v>
      </c>
      <c r="C15" s="1" t="s">
        <v>263</v>
      </c>
      <c r="E15" s="10"/>
    </row>
    <row r="16" spans="1:14" x14ac:dyDescent="0.25">
      <c r="A16" s="10" t="s">
        <v>14</v>
      </c>
      <c r="B16" s="7">
        <v>1</v>
      </c>
      <c r="C16" s="1" t="s">
        <v>15</v>
      </c>
      <c r="J16" s="10" t="s">
        <v>16</v>
      </c>
      <c r="K16" s="11"/>
    </row>
    <row r="17" spans="1:6" x14ac:dyDescent="0.25">
      <c r="A17" s="10" t="s">
        <v>17</v>
      </c>
      <c r="B17" s="8" t="s">
        <v>18</v>
      </c>
    </row>
    <row r="18" spans="1:6" x14ac:dyDescent="0.25">
      <c r="A18" s="10" t="s">
        <v>19</v>
      </c>
      <c r="B18" s="8">
        <v>20210327</v>
      </c>
    </row>
    <row r="20" spans="1:6" x14ac:dyDescent="0.25">
      <c r="A20" s="10" t="s">
        <v>20</v>
      </c>
      <c r="B20" s="10" t="s">
        <v>21</v>
      </c>
      <c r="F20" s="12"/>
    </row>
    <row r="21" spans="1:6" x14ac:dyDescent="0.25">
      <c r="A21" s="10" t="s">
        <v>22</v>
      </c>
      <c r="B21" s="8" t="s">
        <v>23</v>
      </c>
    </row>
    <row r="22" spans="1:6" x14ac:dyDescent="0.25">
      <c r="A22" s="10" t="s">
        <v>24</v>
      </c>
      <c r="B22" s="10" t="e">
        <f>#N/A</f>
        <v>#N/A</v>
      </c>
    </row>
    <row r="23" spans="1:6" x14ac:dyDescent="0.25">
      <c r="A23" s="33" t="s">
        <v>276</v>
      </c>
      <c r="B23" s="33" t="s">
        <v>277</v>
      </c>
    </row>
    <row r="24" spans="1:6" x14ac:dyDescent="0.25">
      <c r="A24" s="10" t="s">
        <v>25</v>
      </c>
      <c r="B24" s="10" t="e">
        <f>#N/A</f>
        <v>#N/A</v>
      </c>
      <c r="F24" s="13"/>
    </row>
    <row r="25" spans="1:6" x14ac:dyDescent="0.25">
      <c r="A25" s="10" t="s">
        <v>26</v>
      </c>
      <c r="B25" s="10" t="e">
        <f>#N/A</f>
        <v>#N/A</v>
      </c>
      <c r="F25" s="13"/>
    </row>
    <row r="26" spans="1:6" x14ac:dyDescent="0.25">
      <c r="F26" s="13"/>
    </row>
    <row r="27" spans="1:6" x14ac:dyDescent="0.25">
      <c r="A27" s="10" t="s">
        <v>27</v>
      </c>
      <c r="B27" s="10" t="s">
        <v>28</v>
      </c>
      <c r="F27" s="13"/>
    </row>
    <row r="28" spans="1:6" x14ac:dyDescent="0.25">
      <c r="A28" s="10"/>
      <c r="B28" s="10"/>
    </row>
    <row r="29" spans="1:6" x14ac:dyDescent="0.25">
      <c r="A29" s="10" t="s">
        <v>29</v>
      </c>
      <c r="B29" s="1" t="s">
        <v>30</v>
      </c>
    </row>
    <row r="30" spans="1:6" x14ac:dyDescent="0.25">
      <c r="A30" s="10" t="s">
        <v>31</v>
      </c>
      <c r="B30" s="1" t="s">
        <v>32</v>
      </c>
    </row>
    <row r="31" spans="1:6" x14ac:dyDescent="0.25">
      <c r="A31" s="10" t="s">
        <v>33</v>
      </c>
      <c r="B31" s="10" t="s">
        <v>34</v>
      </c>
    </row>
    <row r="33" spans="1:3" x14ac:dyDescent="0.25">
      <c r="A33" s="10" t="s">
        <v>18</v>
      </c>
      <c r="B33" s="7" t="b">
        <f>FALSE()</f>
        <v>0</v>
      </c>
    </row>
    <row r="34" spans="1:3" x14ac:dyDescent="0.25">
      <c r="A34" s="10" t="s">
        <v>35</v>
      </c>
      <c r="B34" s="7" t="b">
        <f>FALSE()</f>
        <v>0</v>
      </c>
    </row>
    <row r="35" spans="1:3" x14ac:dyDescent="0.25">
      <c r="A35" s="33" t="s">
        <v>289</v>
      </c>
      <c r="B35" s="34">
        <v>-2</v>
      </c>
    </row>
    <row r="36" spans="1:3" x14ac:dyDescent="0.25">
      <c r="A36" s="10" t="s">
        <v>36</v>
      </c>
      <c r="B36" s="14">
        <v>100</v>
      </c>
    </row>
    <row r="37" spans="1:3" x14ac:dyDescent="0.25">
      <c r="A37" s="10" t="s">
        <v>37</v>
      </c>
      <c r="B37" s="14" t="s">
        <v>38</v>
      </c>
    </row>
    <row r="38" spans="1:3" x14ac:dyDescent="0.25">
      <c r="C38" s="10" t="s">
        <v>39</v>
      </c>
    </row>
    <row r="39" spans="1:3" x14ac:dyDescent="0.25">
      <c r="A39" s="10" t="s">
        <v>40</v>
      </c>
      <c r="B39" s="7" t="s">
        <v>41</v>
      </c>
      <c r="C39" s="1">
        <v>2</v>
      </c>
    </row>
    <row r="41" spans="1:3" x14ac:dyDescent="0.25">
      <c r="A41" s="10" t="s">
        <v>42</v>
      </c>
    </row>
    <row r="42" spans="1:3" x14ac:dyDescent="0.25">
      <c r="A42" s="10" t="s">
        <v>43</v>
      </c>
    </row>
    <row r="43" spans="1:3" x14ac:dyDescent="0.25">
      <c r="A43" s="10" t="s">
        <v>44</v>
      </c>
    </row>
    <row r="45" spans="1:3" x14ac:dyDescent="0.25">
      <c r="A45" s="10" t="s">
        <v>45</v>
      </c>
    </row>
  </sheetData>
  <conditionalFormatting sqref="G3:G8">
    <cfRule type="cellIs" dxfId="21" priority="5" operator="greaterThan">
      <formula>0</formula>
    </cfRule>
  </conditionalFormatting>
  <conditionalFormatting sqref="H5">
    <cfRule type="expression" dxfId="20" priority="2">
      <formula>H5&lt;H3</formula>
    </cfRule>
  </conditionalFormatting>
  <conditionalFormatting sqref="H7">
    <cfRule type="expression" dxfId="19" priority="3">
      <formula>H7&lt;H5</formula>
    </cfRule>
  </conditionalFormatting>
  <conditionalFormatting sqref="H9">
    <cfRule type="expression" dxfId="18" priority="4">
      <formula>H9&lt;H7</formula>
    </cfRule>
  </conditionalFormatting>
  <pageMargins left="0.7" right="0.7" top="0.78749999999999998" bottom="0.78749999999999998" header="0.51180555555555496" footer="0.51180555555555496"/>
  <pageSetup paperSize="9" firstPageNumber="0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44"/>
  <sheetViews>
    <sheetView zoomScaleNormal="100" workbookViewId="0">
      <selection activeCell="E1" sqref="E1"/>
    </sheetView>
  </sheetViews>
  <sheetFormatPr baseColWidth="10" defaultColWidth="11.42578125" defaultRowHeight="15" x14ac:dyDescent="0.25"/>
  <cols>
    <col min="1" max="1" width="16.42578125" style="15" customWidth="1"/>
    <col min="2" max="2" width="27.7109375" style="15" customWidth="1"/>
    <col min="3" max="3" width="3.42578125" style="15" customWidth="1"/>
    <col min="4" max="4" width="6.28515625" style="15" customWidth="1"/>
    <col min="5" max="54" width="13.5703125" style="15" customWidth="1"/>
    <col min="55" max="1024" width="11.42578125" style="15"/>
  </cols>
  <sheetData>
    <row r="1" spans="1:56" s="17" customFormat="1" ht="18.75" customHeight="1" x14ac:dyDescent="0.2">
      <c r="A1" s="16" t="s">
        <v>46</v>
      </c>
      <c r="B1" s="16" t="s">
        <v>47</v>
      </c>
      <c r="C1" s="16" t="s">
        <v>48</v>
      </c>
      <c r="D1" s="16" t="s">
        <v>49</v>
      </c>
      <c r="E1" s="16" t="s">
        <v>50</v>
      </c>
      <c r="F1" s="16" t="s">
        <v>51</v>
      </c>
      <c r="G1" s="16" t="s">
        <v>52</v>
      </c>
      <c r="H1" s="16" t="s">
        <v>53</v>
      </c>
      <c r="I1" s="16" t="s">
        <v>54</v>
      </c>
      <c r="J1" s="16" t="s">
        <v>55</v>
      </c>
      <c r="K1" s="16" t="s">
        <v>56</v>
      </c>
      <c r="L1" s="16" t="s">
        <v>57</v>
      </c>
      <c r="M1" s="16" t="s">
        <v>58</v>
      </c>
      <c r="N1" s="16" t="s">
        <v>59</v>
      </c>
      <c r="O1" s="16" t="s">
        <v>60</v>
      </c>
      <c r="P1" s="16" t="s">
        <v>61</v>
      </c>
      <c r="Q1" s="16" t="s">
        <v>62</v>
      </c>
      <c r="R1" s="16" t="s">
        <v>63</v>
      </c>
      <c r="S1" s="16" t="s">
        <v>64</v>
      </c>
      <c r="T1" s="16" t="s">
        <v>65</v>
      </c>
      <c r="U1" s="16" t="s">
        <v>66</v>
      </c>
      <c r="V1" s="16" t="s">
        <v>67</v>
      </c>
      <c r="W1" s="16" t="s">
        <v>68</v>
      </c>
      <c r="X1" s="16" t="s">
        <v>69</v>
      </c>
      <c r="Y1" s="16" t="s">
        <v>70</v>
      </c>
      <c r="Z1" s="16" t="s">
        <v>71</v>
      </c>
      <c r="AA1" s="16" t="s">
        <v>72</v>
      </c>
      <c r="AB1" s="16" t="s">
        <v>73</v>
      </c>
      <c r="AC1" s="16" t="s">
        <v>74</v>
      </c>
      <c r="AD1" s="16" t="s">
        <v>75</v>
      </c>
      <c r="AE1" s="16" t="s">
        <v>76</v>
      </c>
      <c r="AF1" s="16" t="s">
        <v>77</v>
      </c>
      <c r="AG1" s="16" t="s">
        <v>78</v>
      </c>
      <c r="AH1" s="16" t="s">
        <v>79</v>
      </c>
      <c r="AI1" s="16" t="s">
        <v>80</v>
      </c>
      <c r="AJ1" s="16" t="s">
        <v>81</v>
      </c>
      <c r="AK1" s="16" t="s">
        <v>82</v>
      </c>
      <c r="AL1" s="16" t="s">
        <v>83</v>
      </c>
      <c r="AM1" s="16" t="s">
        <v>84</v>
      </c>
      <c r="AN1" s="16" t="s">
        <v>85</v>
      </c>
      <c r="AO1" s="16" t="s">
        <v>86</v>
      </c>
      <c r="AP1" s="16" t="s">
        <v>87</v>
      </c>
      <c r="AQ1" s="16" t="s">
        <v>88</v>
      </c>
      <c r="AR1" s="16" t="s">
        <v>89</v>
      </c>
      <c r="AS1" s="16" t="s">
        <v>90</v>
      </c>
      <c r="AT1" s="16" t="s">
        <v>91</v>
      </c>
      <c r="AU1" s="16" t="s">
        <v>92</v>
      </c>
      <c r="AV1" s="16" t="s">
        <v>93</v>
      </c>
      <c r="AW1" s="16" t="s">
        <v>94</v>
      </c>
      <c r="AX1" s="16" t="s">
        <v>95</v>
      </c>
      <c r="AY1" s="16" t="s">
        <v>96</v>
      </c>
      <c r="AZ1" s="16" t="s">
        <v>97</v>
      </c>
      <c r="BA1" s="16" t="s">
        <v>98</v>
      </c>
      <c r="BB1" s="16" t="s">
        <v>99</v>
      </c>
    </row>
    <row r="2" spans="1:56" hidden="1" x14ac:dyDescent="0.25"/>
    <row r="3" spans="1:56" s="18" customFormat="1" ht="12.75" x14ac:dyDescent="0.2">
      <c r="A3" s="35"/>
      <c r="B3" s="36"/>
      <c r="E3" s="18">
        <v>1</v>
      </c>
      <c r="F3" s="18">
        <v>2</v>
      </c>
      <c r="G3" s="18">
        <v>3</v>
      </c>
      <c r="H3" s="18">
        <v>4</v>
      </c>
      <c r="I3" s="18">
        <v>5</v>
      </c>
      <c r="J3" s="18">
        <v>6</v>
      </c>
      <c r="K3" s="18">
        <v>7</v>
      </c>
      <c r="L3" s="18">
        <v>8</v>
      </c>
      <c r="M3" s="18">
        <v>9</v>
      </c>
      <c r="N3" s="18">
        <v>10</v>
      </c>
      <c r="O3" s="18">
        <v>11</v>
      </c>
      <c r="P3" s="18">
        <v>12</v>
      </c>
      <c r="Q3" s="18">
        <v>13</v>
      </c>
      <c r="R3" s="18">
        <v>14</v>
      </c>
      <c r="S3" s="18">
        <v>15</v>
      </c>
      <c r="T3" s="18">
        <v>16</v>
      </c>
      <c r="U3" s="18">
        <v>17</v>
      </c>
      <c r="V3" s="18">
        <v>18</v>
      </c>
      <c r="W3" s="18">
        <v>19</v>
      </c>
      <c r="X3" s="18">
        <v>20</v>
      </c>
      <c r="Y3" s="18">
        <v>21</v>
      </c>
      <c r="Z3" s="18">
        <v>22</v>
      </c>
      <c r="AA3" s="18">
        <v>23</v>
      </c>
      <c r="AB3" s="18">
        <v>24</v>
      </c>
      <c r="AC3" s="18">
        <v>25</v>
      </c>
      <c r="AD3" s="18">
        <v>26</v>
      </c>
      <c r="AE3" s="18">
        <v>27</v>
      </c>
      <c r="AF3" s="18">
        <v>28</v>
      </c>
      <c r="AG3" s="18">
        <v>29</v>
      </c>
      <c r="AH3" s="18">
        <v>30</v>
      </c>
      <c r="AI3" s="18">
        <v>31</v>
      </c>
      <c r="AJ3" s="18">
        <v>32</v>
      </c>
      <c r="AK3" s="18">
        <v>33</v>
      </c>
      <c r="AL3" s="18">
        <v>34</v>
      </c>
      <c r="AM3" s="18">
        <v>35</v>
      </c>
      <c r="AN3" s="18">
        <v>36</v>
      </c>
      <c r="AO3" s="18">
        <v>37</v>
      </c>
      <c r="AP3" s="18">
        <v>38</v>
      </c>
      <c r="AQ3" s="18">
        <v>39</v>
      </c>
      <c r="AR3" s="18">
        <v>40</v>
      </c>
      <c r="AS3" s="18">
        <v>41</v>
      </c>
      <c r="AT3" s="18">
        <v>42</v>
      </c>
      <c r="AU3" s="18">
        <v>43</v>
      </c>
      <c r="AV3" s="18">
        <v>44</v>
      </c>
      <c r="AW3" s="18">
        <v>45</v>
      </c>
      <c r="AX3" s="18">
        <v>46</v>
      </c>
      <c r="AY3" s="18">
        <v>47</v>
      </c>
      <c r="AZ3" s="18">
        <v>48</v>
      </c>
      <c r="BA3" s="18">
        <v>49</v>
      </c>
      <c r="BB3" s="18">
        <v>50</v>
      </c>
      <c r="BD3" s="19"/>
    </row>
    <row r="4" spans="1:56" s="18" customFormat="1" ht="12.75" x14ac:dyDescent="0.2">
      <c r="A4" s="35"/>
      <c r="B4" s="36"/>
      <c r="E4" s="18" t="s">
        <v>15</v>
      </c>
      <c r="F4" s="18" t="s">
        <v>100</v>
      </c>
      <c r="G4" s="18" t="s">
        <v>101</v>
      </c>
      <c r="H4" s="18" t="s">
        <v>102</v>
      </c>
      <c r="I4" s="18" t="s">
        <v>103</v>
      </c>
      <c r="J4" s="18" t="s">
        <v>104</v>
      </c>
      <c r="K4" s="18" t="s">
        <v>105</v>
      </c>
      <c r="L4" s="18" t="s">
        <v>106</v>
      </c>
      <c r="M4" s="18" t="s">
        <v>107</v>
      </c>
      <c r="N4" s="18" t="s">
        <v>108</v>
      </c>
      <c r="O4" s="18" t="s">
        <v>109</v>
      </c>
      <c r="P4" s="18" t="s">
        <v>110</v>
      </c>
      <c r="Q4" s="18" t="s">
        <v>111</v>
      </c>
      <c r="R4" s="18" t="s">
        <v>112</v>
      </c>
      <c r="S4" s="18" t="s">
        <v>113</v>
      </c>
      <c r="T4" s="18" t="s">
        <v>114</v>
      </c>
      <c r="U4" s="18" t="s">
        <v>115</v>
      </c>
      <c r="V4" s="18" t="s">
        <v>116</v>
      </c>
      <c r="W4" s="18" t="s">
        <v>117</v>
      </c>
      <c r="X4" s="18" t="s">
        <v>118</v>
      </c>
      <c r="Y4" s="18" t="s">
        <v>119</v>
      </c>
      <c r="Z4" s="18" t="s">
        <v>120</v>
      </c>
      <c r="AA4" s="18" t="s">
        <v>121</v>
      </c>
      <c r="AB4" s="18" t="s">
        <v>122</v>
      </c>
      <c r="AC4" s="18" t="s">
        <v>123</v>
      </c>
      <c r="AD4" s="18" t="s">
        <v>124</v>
      </c>
      <c r="AE4" s="18" t="s">
        <v>125</v>
      </c>
      <c r="AF4" s="18" t="s">
        <v>126</v>
      </c>
      <c r="AG4" s="18" t="s">
        <v>127</v>
      </c>
      <c r="AH4" s="18" t="s">
        <v>128</v>
      </c>
      <c r="AI4" s="18" t="s">
        <v>129</v>
      </c>
      <c r="AJ4" s="18" t="s">
        <v>130</v>
      </c>
      <c r="AK4" s="18" t="s">
        <v>131</v>
      </c>
      <c r="AL4" s="18" t="s">
        <v>132</v>
      </c>
      <c r="AM4" s="18" t="s">
        <v>133</v>
      </c>
      <c r="AN4" s="18" t="s">
        <v>134</v>
      </c>
      <c r="AO4" s="18" t="s">
        <v>135</v>
      </c>
      <c r="AP4" s="18" t="s">
        <v>136</v>
      </c>
      <c r="AQ4" s="18" t="s">
        <v>137</v>
      </c>
      <c r="AR4" s="18" t="s">
        <v>138</v>
      </c>
      <c r="AS4" s="18" t="s">
        <v>139</v>
      </c>
      <c r="AT4" s="18" t="s">
        <v>140</v>
      </c>
      <c r="AU4" s="18" t="s">
        <v>141</v>
      </c>
      <c r="AV4" s="18" t="s">
        <v>142</v>
      </c>
      <c r="AW4" s="18" t="s">
        <v>143</v>
      </c>
      <c r="AX4" s="18" t="s">
        <v>144</v>
      </c>
      <c r="AY4" s="18" t="s">
        <v>145</v>
      </c>
      <c r="AZ4" s="18" t="s">
        <v>146</v>
      </c>
      <c r="BA4" s="18" t="s">
        <v>147</v>
      </c>
      <c r="BB4" s="18" t="s">
        <v>148</v>
      </c>
      <c r="BD4" s="19"/>
    </row>
    <row r="5" spans="1:56" x14ac:dyDescent="0.25">
      <c r="A5" s="27" t="s">
        <v>275</v>
      </c>
      <c r="B5" s="20" t="s">
        <v>149</v>
      </c>
      <c r="C5" s="20" t="s">
        <v>150</v>
      </c>
      <c r="D5" s="20" t="s">
        <v>151</v>
      </c>
      <c r="E5" s="29" t="s">
        <v>278</v>
      </c>
      <c r="F5" s="29" t="str">
        <f>E5</f>
        <v>kregio</v>
      </c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D5" s="19"/>
    </row>
    <row r="6" spans="1:56" x14ac:dyDescent="0.25">
      <c r="A6" s="27" t="s">
        <v>239</v>
      </c>
      <c r="B6" s="20" t="s">
        <v>152</v>
      </c>
      <c r="C6" s="20" t="s">
        <v>153</v>
      </c>
      <c r="D6" s="20" t="s">
        <v>154</v>
      </c>
      <c r="E6" s="14">
        <v>-1</v>
      </c>
      <c r="F6" s="14">
        <v>-1</v>
      </c>
      <c r="G6" s="14">
        <v>-1</v>
      </c>
      <c r="H6" s="14">
        <v>-1</v>
      </c>
      <c r="I6" s="14">
        <v>-1</v>
      </c>
      <c r="J6" s="14">
        <v>-1</v>
      </c>
      <c r="K6" s="14">
        <v>-1</v>
      </c>
      <c r="L6" s="14">
        <v>-1</v>
      </c>
      <c r="M6" s="14">
        <v>-1</v>
      </c>
      <c r="N6" s="14">
        <v>-1</v>
      </c>
      <c r="O6" s="14">
        <v>-1</v>
      </c>
      <c r="P6" s="14">
        <v>-1</v>
      </c>
      <c r="Q6" s="14">
        <v>-1</v>
      </c>
      <c r="R6" s="14">
        <v>-1</v>
      </c>
      <c r="S6" s="14">
        <v>-1</v>
      </c>
      <c r="T6" s="14">
        <v>-1</v>
      </c>
      <c r="U6" s="14">
        <v>-1</v>
      </c>
      <c r="V6" s="14">
        <v>-1</v>
      </c>
      <c r="W6" s="14">
        <v>-1</v>
      </c>
      <c r="X6" s="14">
        <v>-1</v>
      </c>
      <c r="Y6" s="14">
        <v>-1</v>
      </c>
      <c r="Z6" s="14">
        <v>-1</v>
      </c>
      <c r="AA6" s="14">
        <v>-1</v>
      </c>
      <c r="AB6" s="14">
        <v>-1</v>
      </c>
      <c r="AC6" s="14">
        <v>-1</v>
      </c>
      <c r="AD6" s="14">
        <v>-1</v>
      </c>
      <c r="AE6" s="14">
        <v>-1</v>
      </c>
      <c r="AF6" s="14">
        <v>-1</v>
      </c>
      <c r="AG6" s="14">
        <v>-1</v>
      </c>
      <c r="AH6" s="14">
        <v>-1</v>
      </c>
      <c r="AI6" s="14">
        <v>-1</v>
      </c>
      <c r="AJ6" s="14">
        <v>-1</v>
      </c>
      <c r="AK6" s="14">
        <v>-1</v>
      </c>
      <c r="AL6" s="14">
        <v>-1</v>
      </c>
      <c r="AM6" s="14">
        <v>-1</v>
      </c>
      <c r="AN6" s="14">
        <v>-1</v>
      </c>
      <c r="AO6" s="14">
        <v>-1</v>
      </c>
      <c r="AP6" s="14">
        <v>-1</v>
      </c>
      <c r="AQ6" s="14">
        <v>-1</v>
      </c>
      <c r="AR6" s="14">
        <v>-1</v>
      </c>
      <c r="AS6" s="14">
        <v>-1</v>
      </c>
      <c r="AT6" s="14">
        <v>-1</v>
      </c>
      <c r="AU6" s="14">
        <v>-1</v>
      </c>
      <c r="AV6" s="14">
        <v>-1</v>
      </c>
      <c r="AW6" s="14">
        <v>-1</v>
      </c>
      <c r="AX6" s="14">
        <v>-1</v>
      </c>
      <c r="AY6" s="14">
        <v>-1</v>
      </c>
      <c r="AZ6" s="14">
        <v>-1</v>
      </c>
      <c r="BA6" s="14">
        <v>-1</v>
      </c>
      <c r="BB6" s="14">
        <v>-1</v>
      </c>
      <c r="BD6" s="19"/>
    </row>
    <row r="7" spans="1:56" x14ac:dyDescent="0.25">
      <c r="A7" s="27" t="s">
        <v>155</v>
      </c>
      <c r="B7" s="20" t="s">
        <v>156</v>
      </c>
      <c r="C7" s="20" t="s">
        <v>157</v>
      </c>
      <c r="D7" s="20"/>
      <c r="E7" s="14">
        <v>-3</v>
      </c>
      <c r="F7" s="14">
        <v>-3</v>
      </c>
      <c r="G7" s="14">
        <v>-3</v>
      </c>
      <c r="H7" s="14">
        <v>-3</v>
      </c>
      <c r="I7" s="14">
        <v>-3</v>
      </c>
      <c r="J7" s="14">
        <v>-3</v>
      </c>
      <c r="K7" s="14">
        <v>-3</v>
      </c>
      <c r="L7" s="14">
        <v>-3</v>
      </c>
      <c r="M7" s="14">
        <v>-3</v>
      </c>
      <c r="N7" s="14">
        <v>-3</v>
      </c>
      <c r="O7" s="14">
        <v>-3</v>
      </c>
      <c r="P7" s="14">
        <v>-3</v>
      </c>
      <c r="Q7" s="14">
        <v>-3</v>
      </c>
      <c r="R7" s="14">
        <v>-3</v>
      </c>
      <c r="S7" s="14">
        <v>-3</v>
      </c>
      <c r="T7" s="14">
        <v>-3</v>
      </c>
      <c r="U7" s="14">
        <v>-3</v>
      </c>
      <c r="V7" s="14">
        <v>-3</v>
      </c>
      <c r="W7" s="14">
        <v>-3</v>
      </c>
      <c r="X7" s="14">
        <v>-3</v>
      </c>
      <c r="Y7" s="14">
        <v>-3</v>
      </c>
      <c r="Z7" s="14">
        <v>-3</v>
      </c>
      <c r="AA7" s="14">
        <v>-3</v>
      </c>
      <c r="AB7" s="14">
        <v>-3</v>
      </c>
      <c r="AC7" s="14">
        <v>-3</v>
      </c>
      <c r="AD7" s="14">
        <v>-3</v>
      </c>
      <c r="AE7" s="14">
        <v>-3</v>
      </c>
      <c r="AF7" s="14">
        <v>-3</v>
      </c>
      <c r="AG7" s="14">
        <v>-3</v>
      </c>
      <c r="AH7" s="14">
        <v>-3</v>
      </c>
      <c r="AI7" s="14">
        <v>-3</v>
      </c>
      <c r="AJ7" s="14">
        <v>-3</v>
      </c>
      <c r="AK7" s="14">
        <v>-3</v>
      </c>
      <c r="AL7" s="14">
        <v>-3</v>
      </c>
      <c r="AM7" s="14">
        <v>-3</v>
      </c>
      <c r="AN7" s="14">
        <v>-3</v>
      </c>
      <c r="AO7" s="14">
        <v>-3</v>
      </c>
      <c r="AP7" s="14">
        <v>-3</v>
      </c>
      <c r="AQ7" s="14">
        <v>-3</v>
      </c>
      <c r="AR7" s="14">
        <v>-3</v>
      </c>
      <c r="AS7" s="14">
        <v>-3</v>
      </c>
      <c r="AT7" s="14">
        <v>-3</v>
      </c>
      <c r="AU7" s="14">
        <v>-3</v>
      </c>
      <c r="AV7" s="14">
        <v>-3</v>
      </c>
      <c r="AW7" s="14">
        <v>-3</v>
      </c>
      <c r="AX7" s="14">
        <v>-3</v>
      </c>
      <c r="AY7" s="14">
        <v>-3</v>
      </c>
      <c r="AZ7" s="14">
        <v>-3</v>
      </c>
      <c r="BA7" s="14">
        <v>-3</v>
      </c>
      <c r="BB7" s="14">
        <v>-3</v>
      </c>
      <c r="BD7" s="19"/>
    </row>
    <row r="8" spans="1:56" x14ac:dyDescent="0.25">
      <c r="A8" s="27" t="s">
        <v>158</v>
      </c>
      <c r="B8" s="20" t="s">
        <v>159</v>
      </c>
      <c r="C8" s="20" t="s">
        <v>157</v>
      </c>
      <c r="D8" s="20"/>
      <c r="E8" s="14">
        <v>-2</v>
      </c>
      <c r="F8" s="14">
        <v>-2</v>
      </c>
      <c r="G8" s="14">
        <v>-2</v>
      </c>
      <c r="H8" s="14">
        <v>-2</v>
      </c>
      <c r="I8" s="14">
        <v>-2</v>
      </c>
      <c r="J8" s="14">
        <v>-2</v>
      </c>
      <c r="K8" s="14">
        <v>-2</v>
      </c>
      <c r="L8" s="14">
        <v>-2</v>
      </c>
      <c r="M8" s="14">
        <v>-2</v>
      </c>
      <c r="N8" s="14">
        <v>-2</v>
      </c>
      <c r="O8" s="14">
        <v>-2</v>
      </c>
      <c r="P8" s="14">
        <v>-2</v>
      </c>
      <c r="Q8" s="14">
        <v>-2</v>
      </c>
      <c r="R8" s="14">
        <v>-2</v>
      </c>
      <c r="S8" s="14">
        <v>-2</v>
      </c>
      <c r="T8" s="14">
        <v>-2</v>
      </c>
      <c r="U8" s="14">
        <v>-2</v>
      </c>
      <c r="V8" s="14">
        <v>-2</v>
      </c>
      <c r="W8" s="14">
        <v>-2</v>
      </c>
      <c r="X8" s="14">
        <v>-2</v>
      </c>
      <c r="Y8" s="14">
        <v>-2</v>
      </c>
      <c r="Z8" s="14">
        <v>-2</v>
      </c>
      <c r="AA8" s="14">
        <v>-2</v>
      </c>
      <c r="AB8" s="14">
        <v>-2</v>
      </c>
      <c r="AC8" s="14">
        <v>-2</v>
      </c>
      <c r="AD8" s="14">
        <v>-2</v>
      </c>
      <c r="AE8" s="14">
        <v>-2</v>
      </c>
      <c r="AF8" s="14">
        <v>-2</v>
      </c>
      <c r="AG8" s="14">
        <v>-2</v>
      </c>
      <c r="AH8" s="14">
        <v>-2</v>
      </c>
      <c r="AI8" s="14">
        <v>-2</v>
      </c>
      <c r="AJ8" s="14">
        <v>-2</v>
      </c>
      <c r="AK8" s="14">
        <v>-2</v>
      </c>
      <c r="AL8" s="14">
        <v>-2</v>
      </c>
      <c r="AM8" s="14">
        <v>-2</v>
      </c>
      <c r="AN8" s="14">
        <v>-2</v>
      </c>
      <c r="AO8" s="14">
        <v>-2</v>
      </c>
      <c r="AP8" s="14">
        <v>-2</v>
      </c>
      <c r="AQ8" s="14">
        <v>-2</v>
      </c>
      <c r="AR8" s="14">
        <v>-2</v>
      </c>
      <c r="AS8" s="14">
        <v>-2</v>
      </c>
      <c r="AT8" s="14">
        <v>-2</v>
      </c>
      <c r="AU8" s="14">
        <v>-2</v>
      </c>
      <c r="AV8" s="14">
        <v>-2</v>
      </c>
      <c r="AW8" s="14">
        <v>-2</v>
      </c>
      <c r="AX8" s="14">
        <v>-2</v>
      </c>
      <c r="AY8" s="14">
        <v>-2</v>
      </c>
      <c r="AZ8" s="14">
        <v>-2</v>
      </c>
      <c r="BA8" s="14">
        <v>-2</v>
      </c>
      <c r="BB8" s="14">
        <v>-2</v>
      </c>
      <c r="BD8" s="19"/>
    </row>
    <row r="9" spans="1:56" x14ac:dyDescent="0.25">
      <c r="A9" s="27" t="s">
        <v>225</v>
      </c>
      <c r="B9" s="20" t="s">
        <v>160</v>
      </c>
      <c r="C9" s="20" t="s">
        <v>161</v>
      </c>
      <c r="D9" s="20" t="s">
        <v>162</v>
      </c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D9" s="19"/>
    </row>
    <row r="10" spans="1:56" x14ac:dyDescent="0.25">
      <c r="A10" s="20"/>
      <c r="B10" s="20"/>
      <c r="C10" s="20"/>
      <c r="D10" s="20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D10" s="19"/>
    </row>
    <row r="11" spans="1:56" x14ac:dyDescent="0.25">
      <c r="A11" s="20" t="s">
        <v>163</v>
      </c>
      <c r="B11" s="20" t="s">
        <v>164</v>
      </c>
      <c r="C11" s="20"/>
      <c r="D11" s="20" t="s">
        <v>165</v>
      </c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D11" s="19"/>
    </row>
    <row r="12" spans="1:56" x14ac:dyDescent="0.25">
      <c r="A12" s="20" t="s">
        <v>166</v>
      </c>
      <c r="B12" s="20"/>
      <c r="C12" s="20" t="s">
        <v>157</v>
      </c>
      <c r="D12" s="20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D12" s="19"/>
    </row>
    <row r="13" spans="1:56" x14ac:dyDescent="0.25">
      <c r="A13" s="21" t="s">
        <v>167</v>
      </c>
      <c r="B13" s="20" t="s">
        <v>168</v>
      </c>
      <c r="C13" s="20"/>
      <c r="D13" s="20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D13" s="19"/>
    </row>
    <row r="14" spans="1:56" x14ac:dyDescent="0.25">
      <c r="A14" s="20" t="s">
        <v>169</v>
      </c>
      <c r="B14" s="20"/>
      <c r="C14" s="20" t="s">
        <v>157</v>
      </c>
      <c r="D14" s="20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D14" s="19"/>
    </row>
    <row r="15" spans="1:56" x14ac:dyDescent="0.25">
      <c r="A15" s="20" t="s">
        <v>170</v>
      </c>
      <c r="B15" s="20" t="s">
        <v>171</v>
      </c>
      <c r="C15" s="20"/>
      <c r="D15" s="20"/>
      <c r="E15" s="14"/>
      <c r="F15" s="14" t="s">
        <v>249</v>
      </c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D15" s="19"/>
    </row>
    <row r="16" spans="1:56" x14ac:dyDescent="0.25">
      <c r="A16" s="20" t="s">
        <v>172</v>
      </c>
      <c r="B16" s="20"/>
      <c r="C16" s="20" t="s">
        <v>157</v>
      </c>
      <c r="D16" s="20" t="s">
        <v>173</v>
      </c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D16" s="19"/>
    </row>
    <row r="17" spans="1:56" x14ac:dyDescent="0.25">
      <c r="A17" s="21" t="s">
        <v>174</v>
      </c>
      <c r="B17" s="20" t="s">
        <v>175</v>
      </c>
      <c r="C17" s="20"/>
      <c r="D17" s="20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D17" s="19"/>
    </row>
    <row r="18" spans="1:56" x14ac:dyDescent="0.25">
      <c r="A18" s="21" t="s">
        <v>176</v>
      </c>
      <c r="B18" s="20" t="s">
        <v>177</v>
      </c>
      <c r="C18" s="20" t="s">
        <v>178</v>
      </c>
      <c r="D18" s="20"/>
      <c r="E18" s="14" t="s">
        <v>179</v>
      </c>
      <c r="F18" s="14" t="s">
        <v>179</v>
      </c>
      <c r="G18" s="14" t="s">
        <v>179</v>
      </c>
      <c r="H18" s="14" t="s">
        <v>179</v>
      </c>
      <c r="I18" s="14" t="s">
        <v>179</v>
      </c>
      <c r="J18" s="14" t="s">
        <v>179</v>
      </c>
      <c r="K18" s="14" t="s">
        <v>179</v>
      </c>
      <c r="L18" s="14" t="s">
        <v>179</v>
      </c>
      <c r="M18" s="14" t="s">
        <v>179</v>
      </c>
      <c r="N18" s="14" t="s">
        <v>179</v>
      </c>
      <c r="O18" s="14" t="s">
        <v>179</v>
      </c>
      <c r="P18" s="14" t="s">
        <v>179</v>
      </c>
      <c r="Q18" s="14" t="s">
        <v>179</v>
      </c>
      <c r="R18" s="14" t="s">
        <v>179</v>
      </c>
      <c r="S18" s="14" t="s">
        <v>179</v>
      </c>
      <c r="T18" s="14" t="s">
        <v>179</v>
      </c>
      <c r="U18" s="14" t="s">
        <v>179</v>
      </c>
      <c r="V18" s="14" t="s">
        <v>179</v>
      </c>
      <c r="W18" s="14" t="s">
        <v>179</v>
      </c>
      <c r="X18" s="14" t="s">
        <v>179</v>
      </c>
      <c r="Y18" s="14" t="s">
        <v>179</v>
      </c>
      <c r="Z18" s="14" t="s">
        <v>179</v>
      </c>
      <c r="AA18" s="14" t="s">
        <v>179</v>
      </c>
      <c r="AB18" s="14" t="s">
        <v>179</v>
      </c>
      <c r="AC18" s="14" t="s">
        <v>179</v>
      </c>
      <c r="AD18" s="14" t="s">
        <v>179</v>
      </c>
      <c r="AE18" s="14" t="s">
        <v>179</v>
      </c>
      <c r="AF18" s="14" t="s">
        <v>179</v>
      </c>
      <c r="AG18" s="14" t="s">
        <v>179</v>
      </c>
      <c r="AH18" s="14" t="s">
        <v>179</v>
      </c>
      <c r="AI18" s="14" t="s">
        <v>179</v>
      </c>
      <c r="AJ18" s="14" t="s">
        <v>179</v>
      </c>
      <c r="AK18" s="14" t="s">
        <v>179</v>
      </c>
      <c r="AL18" s="14" t="s">
        <v>179</v>
      </c>
      <c r="AM18" s="14" t="s">
        <v>179</v>
      </c>
      <c r="AN18" s="14" t="s">
        <v>179</v>
      </c>
      <c r="AO18" s="14" t="s">
        <v>179</v>
      </c>
      <c r="AP18" s="14" t="s">
        <v>179</v>
      </c>
      <c r="AQ18" s="14" t="s">
        <v>179</v>
      </c>
      <c r="AR18" s="14" t="s">
        <v>179</v>
      </c>
      <c r="AS18" s="14" t="s">
        <v>179</v>
      </c>
      <c r="AT18" s="14" t="s">
        <v>179</v>
      </c>
      <c r="AU18" s="14" t="s">
        <v>179</v>
      </c>
      <c r="AV18" s="14" t="s">
        <v>179</v>
      </c>
      <c r="AW18" s="14" t="s">
        <v>179</v>
      </c>
      <c r="AX18" s="14" t="s">
        <v>179</v>
      </c>
      <c r="AY18" s="14" t="s">
        <v>179</v>
      </c>
      <c r="AZ18" s="14" t="s">
        <v>179</v>
      </c>
      <c r="BA18" s="14" t="s">
        <v>179</v>
      </c>
      <c r="BB18" s="14" t="s">
        <v>179</v>
      </c>
      <c r="BD18" s="19"/>
    </row>
    <row r="19" spans="1:56" x14ac:dyDescent="0.25">
      <c r="A19" s="20" t="s">
        <v>180</v>
      </c>
      <c r="B19" s="20"/>
      <c r="C19" s="20" t="s">
        <v>157</v>
      </c>
      <c r="D19" s="20"/>
      <c r="E19" s="14" t="s">
        <v>181</v>
      </c>
      <c r="F19" s="14" t="s">
        <v>181</v>
      </c>
      <c r="G19" s="14" t="s">
        <v>181</v>
      </c>
      <c r="H19" s="14" t="s">
        <v>181</v>
      </c>
      <c r="I19" s="14" t="s">
        <v>181</v>
      </c>
      <c r="J19" s="14" t="s">
        <v>181</v>
      </c>
      <c r="K19" s="14" t="s">
        <v>181</v>
      </c>
      <c r="L19" s="14" t="s">
        <v>181</v>
      </c>
      <c r="M19" s="14" t="s">
        <v>181</v>
      </c>
      <c r="N19" s="14" t="s">
        <v>181</v>
      </c>
      <c r="O19" s="14" t="s">
        <v>181</v>
      </c>
      <c r="P19" s="14" t="s">
        <v>181</v>
      </c>
      <c r="Q19" s="14" t="s">
        <v>181</v>
      </c>
      <c r="R19" s="14" t="s">
        <v>181</v>
      </c>
      <c r="S19" s="14" t="s">
        <v>181</v>
      </c>
      <c r="T19" s="14" t="s">
        <v>181</v>
      </c>
      <c r="U19" s="14" t="s">
        <v>181</v>
      </c>
      <c r="V19" s="14" t="s">
        <v>181</v>
      </c>
      <c r="W19" s="14" t="s">
        <v>181</v>
      </c>
      <c r="X19" s="14" t="s">
        <v>181</v>
      </c>
      <c r="Y19" s="14" t="s">
        <v>181</v>
      </c>
      <c r="Z19" s="14" t="s">
        <v>181</v>
      </c>
      <c r="AA19" s="14" t="s">
        <v>181</v>
      </c>
      <c r="AB19" s="14" t="s">
        <v>181</v>
      </c>
      <c r="AC19" s="14" t="s">
        <v>181</v>
      </c>
      <c r="AD19" s="14" t="s">
        <v>181</v>
      </c>
      <c r="AE19" s="14" t="s">
        <v>181</v>
      </c>
      <c r="AF19" s="14" t="s">
        <v>181</v>
      </c>
      <c r="AG19" s="14" t="s">
        <v>181</v>
      </c>
      <c r="AH19" s="14" t="s">
        <v>181</v>
      </c>
      <c r="AI19" s="14" t="s">
        <v>181</v>
      </c>
      <c r="AJ19" s="14" t="s">
        <v>181</v>
      </c>
      <c r="AK19" s="14" t="s">
        <v>181</v>
      </c>
      <c r="AL19" s="14" t="s">
        <v>181</v>
      </c>
      <c r="AM19" s="14" t="s">
        <v>181</v>
      </c>
      <c r="AN19" s="14" t="s">
        <v>181</v>
      </c>
      <c r="AO19" s="14" t="s">
        <v>181</v>
      </c>
      <c r="AP19" s="14" t="s">
        <v>181</v>
      </c>
      <c r="AQ19" s="14" t="s">
        <v>181</v>
      </c>
      <c r="AR19" s="14" t="s">
        <v>181</v>
      </c>
      <c r="AS19" s="14" t="s">
        <v>181</v>
      </c>
      <c r="AT19" s="14" t="s">
        <v>181</v>
      </c>
      <c r="AU19" s="14" t="s">
        <v>181</v>
      </c>
      <c r="AV19" s="14" t="s">
        <v>181</v>
      </c>
      <c r="AW19" s="14" t="s">
        <v>181</v>
      </c>
      <c r="AX19" s="14" t="s">
        <v>181</v>
      </c>
      <c r="AY19" s="14" t="s">
        <v>181</v>
      </c>
      <c r="AZ19" s="14" t="s">
        <v>181</v>
      </c>
      <c r="BA19" s="14" t="s">
        <v>181</v>
      </c>
      <c r="BB19" s="14" t="s">
        <v>181</v>
      </c>
      <c r="BD19" s="19"/>
    </row>
    <row r="20" spans="1:56" x14ac:dyDescent="0.25">
      <c r="A20" s="20" t="s">
        <v>182</v>
      </c>
      <c r="B20" s="20"/>
      <c r="C20" s="20" t="s">
        <v>157</v>
      </c>
      <c r="D20" s="20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D20" s="19"/>
    </row>
    <row r="21" spans="1:56" x14ac:dyDescent="0.25">
      <c r="A21" s="21" t="s">
        <v>183</v>
      </c>
      <c r="B21" s="20" t="s">
        <v>184</v>
      </c>
      <c r="C21" s="20"/>
      <c r="D21" s="20"/>
      <c r="E21" s="14" t="s">
        <v>185</v>
      </c>
      <c r="F21" s="14" t="s">
        <v>185</v>
      </c>
      <c r="G21" s="14" t="s">
        <v>185</v>
      </c>
      <c r="H21" s="14" t="s">
        <v>185</v>
      </c>
      <c r="I21" s="14" t="s">
        <v>185</v>
      </c>
      <c r="J21" s="14" t="s">
        <v>185</v>
      </c>
      <c r="K21" s="14" t="s">
        <v>185</v>
      </c>
      <c r="L21" s="14" t="s">
        <v>185</v>
      </c>
      <c r="M21" s="14" t="s">
        <v>185</v>
      </c>
      <c r="N21" s="14" t="s">
        <v>185</v>
      </c>
      <c r="O21" s="14" t="s">
        <v>185</v>
      </c>
      <c r="P21" s="14" t="s">
        <v>185</v>
      </c>
      <c r="Q21" s="14" t="s">
        <v>185</v>
      </c>
      <c r="R21" s="14" t="s">
        <v>185</v>
      </c>
      <c r="S21" s="14" t="s">
        <v>185</v>
      </c>
      <c r="T21" s="14" t="s">
        <v>185</v>
      </c>
      <c r="U21" s="14" t="s">
        <v>185</v>
      </c>
      <c r="V21" s="14" t="s">
        <v>185</v>
      </c>
      <c r="W21" s="14" t="s">
        <v>185</v>
      </c>
      <c r="X21" s="14" t="s">
        <v>185</v>
      </c>
      <c r="Y21" s="14" t="s">
        <v>185</v>
      </c>
      <c r="Z21" s="14" t="s">
        <v>185</v>
      </c>
      <c r="AA21" s="14" t="s">
        <v>185</v>
      </c>
      <c r="AB21" s="14" t="s">
        <v>185</v>
      </c>
      <c r="AC21" s="14" t="s">
        <v>185</v>
      </c>
      <c r="AD21" s="14" t="s">
        <v>185</v>
      </c>
      <c r="AE21" s="14" t="s">
        <v>185</v>
      </c>
      <c r="AF21" s="14" t="s">
        <v>185</v>
      </c>
      <c r="AG21" s="14" t="s">
        <v>185</v>
      </c>
      <c r="AH21" s="14" t="s">
        <v>185</v>
      </c>
      <c r="AI21" s="14" t="s">
        <v>185</v>
      </c>
      <c r="AJ21" s="14" t="s">
        <v>185</v>
      </c>
      <c r="AK21" s="14" t="s">
        <v>185</v>
      </c>
      <c r="AL21" s="14" t="s">
        <v>185</v>
      </c>
      <c r="AM21" s="14" t="s">
        <v>185</v>
      </c>
      <c r="AN21" s="14" t="s">
        <v>185</v>
      </c>
      <c r="AO21" s="14" t="s">
        <v>185</v>
      </c>
      <c r="AP21" s="14" t="s">
        <v>185</v>
      </c>
      <c r="AQ21" s="14" t="s">
        <v>185</v>
      </c>
      <c r="AR21" s="14" t="s">
        <v>185</v>
      </c>
      <c r="AS21" s="14" t="s">
        <v>185</v>
      </c>
      <c r="AT21" s="14" t="s">
        <v>185</v>
      </c>
      <c r="AU21" s="14" t="s">
        <v>185</v>
      </c>
      <c r="AV21" s="14" t="s">
        <v>185</v>
      </c>
      <c r="AW21" s="14" t="s">
        <v>185</v>
      </c>
      <c r="AX21" s="14" t="s">
        <v>185</v>
      </c>
      <c r="AY21" s="14" t="s">
        <v>185</v>
      </c>
      <c r="AZ21" s="14" t="s">
        <v>185</v>
      </c>
      <c r="BA21" s="14" t="s">
        <v>185</v>
      </c>
      <c r="BB21" s="14" t="s">
        <v>185</v>
      </c>
      <c r="BD21" s="19"/>
    </row>
    <row r="22" spans="1:56" x14ac:dyDescent="0.25">
      <c r="A22" s="20" t="s">
        <v>186</v>
      </c>
      <c r="B22" s="20" t="s">
        <v>187</v>
      </c>
      <c r="C22" s="20"/>
      <c r="D22" s="20" t="s">
        <v>188</v>
      </c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D22" s="19"/>
    </row>
    <row r="23" spans="1:56" x14ac:dyDescent="0.25">
      <c r="A23" s="20" t="s">
        <v>189</v>
      </c>
      <c r="B23" s="20"/>
      <c r="C23" s="20" t="s">
        <v>157</v>
      </c>
      <c r="D23" s="20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D23" s="19"/>
    </row>
    <row r="24" spans="1:56" x14ac:dyDescent="0.25">
      <c r="A24" s="20" t="s">
        <v>190</v>
      </c>
      <c r="B24" s="20"/>
      <c r="C24" s="20" t="s">
        <v>157</v>
      </c>
      <c r="D24" s="20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D24" s="19"/>
    </row>
    <row r="25" spans="1:56" x14ac:dyDescent="0.25">
      <c r="A25" s="20" t="s">
        <v>191</v>
      </c>
      <c r="B25" s="20"/>
      <c r="C25" s="20" t="s">
        <v>157</v>
      </c>
      <c r="D25" s="20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D25" s="19"/>
    </row>
    <row r="26" spans="1:56" x14ac:dyDescent="0.25">
      <c r="A26" s="20" t="s">
        <v>192</v>
      </c>
      <c r="B26" s="20"/>
      <c r="C26" s="20" t="s">
        <v>157</v>
      </c>
      <c r="D26" s="20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D26" s="19"/>
    </row>
    <row r="27" spans="1:56" x14ac:dyDescent="0.25">
      <c r="A27" s="20" t="s">
        <v>193</v>
      </c>
      <c r="B27" s="20"/>
      <c r="C27" s="20" t="s">
        <v>157</v>
      </c>
      <c r="D27" s="20"/>
      <c r="E27" s="14" t="s">
        <v>194</v>
      </c>
      <c r="F27" s="14" t="s">
        <v>194</v>
      </c>
      <c r="G27" s="14" t="s">
        <v>194</v>
      </c>
      <c r="H27" s="14" t="s">
        <v>194</v>
      </c>
      <c r="I27" s="14" t="s">
        <v>194</v>
      </c>
      <c r="J27" s="14" t="s">
        <v>194</v>
      </c>
      <c r="K27" s="14" t="s">
        <v>194</v>
      </c>
      <c r="L27" s="14" t="s">
        <v>194</v>
      </c>
      <c r="M27" s="14" t="s">
        <v>194</v>
      </c>
      <c r="N27" s="14" t="s">
        <v>194</v>
      </c>
      <c r="O27" s="14" t="s">
        <v>194</v>
      </c>
      <c r="P27" s="14" t="s">
        <v>194</v>
      </c>
      <c r="Q27" s="14" t="s">
        <v>194</v>
      </c>
      <c r="R27" s="14" t="s">
        <v>194</v>
      </c>
      <c r="S27" s="14" t="s">
        <v>194</v>
      </c>
      <c r="T27" s="14" t="s">
        <v>194</v>
      </c>
      <c r="U27" s="14" t="s">
        <v>194</v>
      </c>
      <c r="V27" s="14" t="s">
        <v>194</v>
      </c>
      <c r="W27" s="14" t="s">
        <v>194</v>
      </c>
      <c r="X27" s="14" t="s">
        <v>194</v>
      </c>
      <c r="Y27" s="14" t="s">
        <v>194</v>
      </c>
      <c r="Z27" s="14" t="s">
        <v>194</v>
      </c>
      <c r="AA27" s="14" t="s">
        <v>194</v>
      </c>
      <c r="AB27" s="14" t="s">
        <v>194</v>
      </c>
      <c r="AC27" s="14" t="s">
        <v>194</v>
      </c>
      <c r="AD27" s="14" t="s">
        <v>194</v>
      </c>
      <c r="AE27" s="14" t="s">
        <v>194</v>
      </c>
      <c r="AF27" s="14" t="s">
        <v>194</v>
      </c>
      <c r="AG27" s="14" t="s">
        <v>194</v>
      </c>
      <c r="AH27" s="14" t="s">
        <v>194</v>
      </c>
      <c r="AI27" s="14" t="s">
        <v>194</v>
      </c>
      <c r="AJ27" s="14" t="s">
        <v>194</v>
      </c>
      <c r="AK27" s="14" t="s">
        <v>194</v>
      </c>
      <c r="AL27" s="14" t="s">
        <v>194</v>
      </c>
      <c r="AM27" s="14" t="s">
        <v>194</v>
      </c>
      <c r="AN27" s="14" t="s">
        <v>194</v>
      </c>
      <c r="AO27" s="14" t="s">
        <v>194</v>
      </c>
      <c r="AP27" s="14" t="s">
        <v>194</v>
      </c>
      <c r="AQ27" s="14" t="s">
        <v>194</v>
      </c>
      <c r="AR27" s="14" t="s">
        <v>194</v>
      </c>
      <c r="AS27" s="14" t="s">
        <v>194</v>
      </c>
      <c r="AT27" s="14" t="s">
        <v>194</v>
      </c>
      <c r="AU27" s="14" t="s">
        <v>194</v>
      </c>
      <c r="AV27" s="14" t="s">
        <v>194</v>
      </c>
      <c r="AW27" s="14" t="s">
        <v>194</v>
      </c>
      <c r="AX27" s="14" t="s">
        <v>194</v>
      </c>
      <c r="AY27" s="14" t="s">
        <v>194</v>
      </c>
      <c r="AZ27" s="14" t="s">
        <v>194</v>
      </c>
      <c r="BA27" s="14" t="s">
        <v>194</v>
      </c>
      <c r="BB27" s="14" t="s">
        <v>194</v>
      </c>
      <c r="BD27" s="19"/>
    </row>
    <row r="28" spans="1:56" x14ac:dyDescent="0.25">
      <c r="A28" s="21" t="s">
        <v>195</v>
      </c>
      <c r="B28" s="20" t="s">
        <v>196</v>
      </c>
      <c r="C28" s="20" t="s">
        <v>197</v>
      </c>
      <c r="D28" s="20" t="s">
        <v>198</v>
      </c>
      <c r="E28" s="14" t="s">
        <v>199</v>
      </c>
      <c r="F28" s="14" t="s">
        <v>199</v>
      </c>
      <c r="G28" s="14" t="s">
        <v>199</v>
      </c>
      <c r="H28" s="14" t="s">
        <v>199</v>
      </c>
      <c r="I28" s="14" t="s">
        <v>199</v>
      </c>
      <c r="J28" s="14" t="s">
        <v>199</v>
      </c>
      <c r="K28" s="14" t="s">
        <v>199</v>
      </c>
      <c r="L28" s="14" t="s">
        <v>199</v>
      </c>
      <c r="M28" s="14" t="s">
        <v>199</v>
      </c>
      <c r="N28" s="14" t="s">
        <v>199</v>
      </c>
      <c r="O28" s="14" t="s">
        <v>199</v>
      </c>
      <c r="P28" s="14" t="s">
        <v>199</v>
      </c>
      <c r="Q28" s="14" t="s">
        <v>199</v>
      </c>
      <c r="R28" s="14" t="s">
        <v>199</v>
      </c>
      <c r="S28" s="14" t="s">
        <v>199</v>
      </c>
      <c r="T28" s="14" t="s">
        <v>199</v>
      </c>
      <c r="U28" s="14" t="s">
        <v>199</v>
      </c>
      <c r="V28" s="14" t="s">
        <v>199</v>
      </c>
      <c r="W28" s="14" t="s">
        <v>199</v>
      </c>
      <c r="X28" s="14" t="s">
        <v>199</v>
      </c>
      <c r="Y28" s="14" t="s">
        <v>199</v>
      </c>
      <c r="Z28" s="14" t="s">
        <v>199</v>
      </c>
      <c r="AA28" s="14" t="s">
        <v>199</v>
      </c>
      <c r="AB28" s="14" t="s">
        <v>199</v>
      </c>
      <c r="AC28" s="14" t="s">
        <v>199</v>
      </c>
      <c r="AD28" s="14" t="s">
        <v>199</v>
      </c>
      <c r="AE28" s="14" t="s">
        <v>199</v>
      </c>
      <c r="AF28" s="14" t="s">
        <v>199</v>
      </c>
      <c r="AG28" s="14" t="s">
        <v>199</v>
      </c>
      <c r="AH28" s="14" t="s">
        <v>199</v>
      </c>
      <c r="AI28" s="14" t="s">
        <v>199</v>
      </c>
      <c r="AJ28" s="14" t="s">
        <v>199</v>
      </c>
      <c r="AK28" s="14" t="s">
        <v>199</v>
      </c>
      <c r="AL28" s="14" t="s">
        <v>199</v>
      </c>
      <c r="AM28" s="14" t="s">
        <v>199</v>
      </c>
      <c r="AN28" s="14" t="s">
        <v>199</v>
      </c>
      <c r="AO28" s="14" t="s">
        <v>199</v>
      </c>
      <c r="AP28" s="14" t="s">
        <v>199</v>
      </c>
      <c r="AQ28" s="14" t="s">
        <v>199</v>
      </c>
      <c r="AR28" s="14" t="s">
        <v>199</v>
      </c>
      <c r="AS28" s="14" t="s">
        <v>199</v>
      </c>
      <c r="AT28" s="14" t="s">
        <v>199</v>
      </c>
      <c r="AU28" s="14" t="s">
        <v>199</v>
      </c>
      <c r="AV28" s="14" t="s">
        <v>199</v>
      </c>
      <c r="AW28" s="14" t="s">
        <v>199</v>
      </c>
      <c r="AX28" s="14" t="s">
        <v>199</v>
      </c>
      <c r="AY28" s="14" t="s">
        <v>199</v>
      </c>
      <c r="AZ28" s="14" t="s">
        <v>199</v>
      </c>
      <c r="BA28" s="14" t="s">
        <v>199</v>
      </c>
      <c r="BB28" s="14" t="s">
        <v>199</v>
      </c>
      <c r="BD28" s="19"/>
    </row>
    <row r="29" spans="1:56" x14ac:dyDescent="0.25">
      <c r="A29" s="20" t="s">
        <v>200</v>
      </c>
      <c r="B29" s="20"/>
      <c r="C29" s="20" t="s">
        <v>157</v>
      </c>
      <c r="D29" s="20"/>
      <c r="E29" s="14" t="s">
        <v>201</v>
      </c>
      <c r="F29" s="14" t="s">
        <v>201</v>
      </c>
      <c r="G29" s="14" t="s">
        <v>201</v>
      </c>
      <c r="H29" s="14" t="s">
        <v>201</v>
      </c>
      <c r="I29" s="14" t="s">
        <v>201</v>
      </c>
      <c r="J29" s="14" t="s">
        <v>201</v>
      </c>
      <c r="K29" s="14" t="s">
        <v>201</v>
      </c>
      <c r="L29" s="14" t="s">
        <v>201</v>
      </c>
      <c r="M29" s="14" t="s">
        <v>201</v>
      </c>
      <c r="N29" s="14" t="s">
        <v>201</v>
      </c>
      <c r="O29" s="14" t="s">
        <v>201</v>
      </c>
      <c r="P29" s="14" t="s">
        <v>201</v>
      </c>
      <c r="Q29" s="14" t="s">
        <v>201</v>
      </c>
      <c r="R29" s="14" t="s">
        <v>201</v>
      </c>
      <c r="S29" s="14" t="s">
        <v>201</v>
      </c>
      <c r="T29" s="14" t="s">
        <v>201</v>
      </c>
      <c r="U29" s="14" t="s">
        <v>201</v>
      </c>
      <c r="V29" s="14" t="s">
        <v>201</v>
      </c>
      <c r="W29" s="14" t="s">
        <v>201</v>
      </c>
      <c r="X29" s="14" t="s">
        <v>201</v>
      </c>
      <c r="Y29" s="14" t="s">
        <v>201</v>
      </c>
      <c r="Z29" s="14" t="s">
        <v>201</v>
      </c>
      <c r="AA29" s="14" t="s">
        <v>201</v>
      </c>
      <c r="AB29" s="14" t="s">
        <v>201</v>
      </c>
      <c r="AC29" s="14" t="s">
        <v>201</v>
      </c>
      <c r="AD29" s="14" t="s">
        <v>201</v>
      </c>
      <c r="AE29" s="14" t="s">
        <v>201</v>
      </c>
      <c r="AF29" s="14" t="s">
        <v>201</v>
      </c>
      <c r="AG29" s="14" t="s">
        <v>201</v>
      </c>
      <c r="AH29" s="14" t="s">
        <v>201</v>
      </c>
      <c r="AI29" s="14" t="s">
        <v>201</v>
      </c>
      <c r="AJ29" s="14" t="s">
        <v>201</v>
      </c>
      <c r="AK29" s="14" t="s">
        <v>201</v>
      </c>
      <c r="AL29" s="14" t="s">
        <v>201</v>
      </c>
      <c r="AM29" s="14" t="s">
        <v>201</v>
      </c>
      <c r="AN29" s="14" t="s">
        <v>201</v>
      </c>
      <c r="AO29" s="14" t="s">
        <v>201</v>
      </c>
      <c r="AP29" s="14" t="s">
        <v>201</v>
      </c>
      <c r="AQ29" s="14" t="s">
        <v>201</v>
      </c>
      <c r="AR29" s="14" t="s">
        <v>201</v>
      </c>
      <c r="AS29" s="14" t="s">
        <v>201</v>
      </c>
      <c r="AT29" s="14" t="s">
        <v>201</v>
      </c>
      <c r="AU29" s="14" t="s">
        <v>201</v>
      </c>
      <c r="AV29" s="14" t="s">
        <v>201</v>
      </c>
      <c r="AW29" s="14" t="s">
        <v>201</v>
      </c>
      <c r="AX29" s="14" t="s">
        <v>201</v>
      </c>
      <c r="AY29" s="14" t="s">
        <v>201</v>
      </c>
      <c r="AZ29" s="14" t="s">
        <v>201</v>
      </c>
      <c r="BA29" s="14" t="s">
        <v>201</v>
      </c>
      <c r="BB29" s="14" t="s">
        <v>201</v>
      </c>
      <c r="BD29" s="19"/>
    </row>
    <row r="30" spans="1:56" x14ac:dyDescent="0.25">
      <c r="A30" s="20" t="s">
        <v>202</v>
      </c>
      <c r="B30" s="20"/>
      <c r="C30" s="20" t="s">
        <v>157</v>
      </c>
      <c r="D30" s="20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D30" s="19"/>
    </row>
    <row r="31" spans="1:56" x14ac:dyDescent="0.25">
      <c r="A31" s="20" t="s">
        <v>203</v>
      </c>
      <c r="B31" s="20" t="s">
        <v>204</v>
      </c>
      <c r="C31" s="20" t="s">
        <v>157</v>
      </c>
      <c r="D31" s="20"/>
      <c r="E31" s="14" t="s">
        <v>205</v>
      </c>
      <c r="F31" s="14" t="s">
        <v>205</v>
      </c>
      <c r="G31" s="14" t="s">
        <v>205</v>
      </c>
      <c r="H31" s="14" t="s">
        <v>205</v>
      </c>
      <c r="I31" s="14" t="s">
        <v>205</v>
      </c>
      <c r="J31" s="14" t="s">
        <v>205</v>
      </c>
      <c r="K31" s="14" t="s">
        <v>205</v>
      </c>
      <c r="L31" s="14" t="s">
        <v>205</v>
      </c>
      <c r="M31" s="14" t="s">
        <v>205</v>
      </c>
      <c r="N31" s="14" t="s">
        <v>205</v>
      </c>
      <c r="O31" s="14" t="s">
        <v>205</v>
      </c>
      <c r="P31" s="14" t="s">
        <v>205</v>
      </c>
      <c r="Q31" s="14" t="s">
        <v>205</v>
      </c>
      <c r="R31" s="14" t="s">
        <v>205</v>
      </c>
      <c r="S31" s="14" t="s">
        <v>205</v>
      </c>
      <c r="T31" s="14" t="s">
        <v>205</v>
      </c>
      <c r="U31" s="14" t="s">
        <v>205</v>
      </c>
      <c r="V31" s="14" t="s">
        <v>205</v>
      </c>
      <c r="W31" s="14" t="s">
        <v>205</v>
      </c>
      <c r="X31" s="14" t="s">
        <v>205</v>
      </c>
      <c r="Y31" s="14" t="s">
        <v>205</v>
      </c>
      <c r="Z31" s="14" t="s">
        <v>205</v>
      </c>
      <c r="AA31" s="14" t="s">
        <v>205</v>
      </c>
      <c r="AB31" s="14" t="s">
        <v>205</v>
      </c>
      <c r="AC31" s="14" t="s">
        <v>205</v>
      </c>
      <c r="AD31" s="14" t="s">
        <v>205</v>
      </c>
      <c r="AE31" s="14" t="s">
        <v>205</v>
      </c>
      <c r="AF31" s="14" t="s">
        <v>205</v>
      </c>
      <c r="AG31" s="14" t="s">
        <v>205</v>
      </c>
      <c r="AH31" s="14" t="s">
        <v>205</v>
      </c>
      <c r="AI31" s="14" t="s">
        <v>205</v>
      </c>
      <c r="AJ31" s="14" t="s">
        <v>205</v>
      </c>
      <c r="AK31" s="14" t="s">
        <v>205</v>
      </c>
      <c r="AL31" s="14" t="s">
        <v>205</v>
      </c>
      <c r="AM31" s="14" t="s">
        <v>205</v>
      </c>
      <c r="AN31" s="14" t="s">
        <v>205</v>
      </c>
      <c r="AO31" s="14" t="s">
        <v>205</v>
      </c>
      <c r="AP31" s="14" t="s">
        <v>205</v>
      </c>
      <c r="AQ31" s="14" t="s">
        <v>205</v>
      </c>
      <c r="AR31" s="14" t="s">
        <v>205</v>
      </c>
      <c r="AS31" s="14" t="s">
        <v>205</v>
      </c>
      <c r="AT31" s="14" t="s">
        <v>205</v>
      </c>
      <c r="AU31" s="14" t="s">
        <v>205</v>
      </c>
      <c r="AV31" s="14" t="s">
        <v>205</v>
      </c>
      <c r="AW31" s="14" t="s">
        <v>205</v>
      </c>
      <c r="AX31" s="14" t="s">
        <v>205</v>
      </c>
      <c r="AY31" s="14" t="s">
        <v>205</v>
      </c>
      <c r="AZ31" s="14" t="s">
        <v>205</v>
      </c>
      <c r="BA31" s="14" t="s">
        <v>205</v>
      </c>
      <c r="BB31" s="14" t="s">
        <v>205</v>
      </c>
      <c r="BD31" s="19"/>
    </row>
    <row r="32" spans="1:56" x14ac:dyDescent="0.25">
      <c r="A32" s="20" t="s">
        <v>206</v>
      </c>
      <c r="B32" s="20" t="s">
        <v>207</v>
      </c>
      <c r="C32" s="20" t="s">
        <v>157</v>
      </c>
      <c r="D32" s="20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W32" s="14"/>
      <c r="AX32" s="14"/>
      <c r="AY32" s="14"/>
      <c r="AZ32" s="14"/>
      <c r="BA32" s="14"/>
      <c r="BB32" s="14"/>
      <c r="BD32" s="19"/>
    </row>
    <row r="33" spans="1:56" x14ac:dyDescent="0.25">
      <c r="A33" s="20" t="s">
        <v>208</v>
      </c>
      <c r="B33" s="20" t="s">
        <v>209</v>
      </c>
      <c r="C33" s="20" t="s">
        <v>157</v>
      </c>
      <c r="D33" s="20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14"/>
      <c r="BD33" s="19"/>
    </row>
    <row r="34" spans="1:56" x14ac:dyDescent="0.25">
      <c r="A34" s="20" t="s">
        <v>210</v>
      </c>
      <c r="B34" s="20" t="s">
        <v>209</v>
      </c>
      <c r="C34" s="20" t="s">
        <v>157</v>
      </c>
      <c r="D34" s="20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14"/>
      <c r="AT34" s="14"/>
      <c r="AU34" s="14"/>
      <c r="AV34" s="14"/>
      <c r="AW34" s="14"/>
      <c r="AX34" s="14"/>
      <c r="AY34" s="14"/>
      <c r="AZ34" s="14"/>
      <c r="BA34" s="14"/>
      <c r="BB34" s="14"/>
      <c r="BD34" s="19"/>
    </row>
    <row r="35" spans="1:56" x14ac:dyDescent="0.25">
      <c r="A35" s="20" t="s">
        <v>211</v>
      </c>
      <c r="B35" s="20" t="s">
        <v>209</v>
      </c>
      <c r="C35" s="20" t="s">
        <v>157</v>
      </c>
      <c r="D35" s="20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4"/>
      <c r="AT35" s="14"/>
      <c r="AU35" s="14"/>
      <c r="AV35" s="14"/>
      <c r="AW35" s="14"/>
      <c r="AX35" s="14"/>
      <c r="AY35" s="14"/>
      <c r="AZ35" s="14"/>
      <c r="BA35" s="14"/>
      <c r="BB35" s="14"/>
      <c r="BD35" s="19"/>
    </row>
    <row r="36" spans="1:56" x14ac:dyDescent="0.25">
      <c r="A36" s="20" t="s">
        <v>212</v>
      </c>
      <c r="B36" s="20" t="s">
        <v>209</v>
      </c>
      <c r="C36" s="20" t="s">
        <v>157</v>
      </c>
      <c r="D36" s="20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4"/>
      <c r="AP36" s="14"/>
      <c r="AQ36" s="14"/>
      <c r="AR36" s="14"/>
      <c r="AS36" s="14"/>
      <c r="AT36" s="14"/>
      <c r="AU36" s="14"/>
      <c r="AV36" s="14"/>
      <c r="AW36" s="14"/>
      <c r="AX36" s="14"/>
      <c r="AY36" s="14"/>
      <c r="AZ36" s="14"/>
      <c r="BA36" s="14"/>
      <c r="BB36" s="14"/>
      <c r="BD36" s="19"/>
    </row>
    <row r="37" spans="1:56" x14ac:dyDescent="0.25">
      <c r="A37" s="20" t="s">
        <v>213</v>
      </c>
      <c r="B37" s="20" t="s">
        <v>209</v>
      </c>
      <c r="C37" s="20" t="s">
        <v>157</v>
      </c>
      <c r="D37" s="20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4"/>
      <c r="AQ37" s="14"/>
      <c r="AR37" s="14"/>
      <c r="AS37" s="14"/>
      <c r="AT37" s="14"/>
      <c r="AU37" s="14"/>
      <c r="AV37" s="14"/>
      <c r="AW37" s="14"/>
      <c r="AX37" s="14"/>
      <c r="AY37" s="14"/>
      <c r="AZ37" s="14"/>
      <c r="BA37" s="14"/>
      <c r="BB37" s="14"/>
      <c r="BD37" s="19"/>
    </row>
    <row r="38" spans="1:56" x14ac:dyDescent="0.25">
      <c r="A38" s="20" t="s">
        <v>214</v>
      </c>
      <c r="B38" s="20" t="s">
        <v>209</v>
      </c>
      <c r="C38" s="20" t="s">
        <v>157</v>
      </c>
      <c r="D38" s="20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D38" s="19"/>
    </row>
    <row r="39" spans="1:56" x14ac:dyDescent="0.25">
      <c r="A39" s="20" t="s">
        <v>215</v>
      </c>
      <c r="B39" s="20" t="s">
        <v>209</v>
      </c>
      <c r="C39" s="20" t="s">
        <v>157</v>
      </c>
      <c r="D39" s="20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4"/>
      <c r="AO39" s="14"/>
      <c r="AP39" s="14"/>
      <c r="AQ39" s="14"/>
      <c r="AR39" s="14"/>
      <c r="AS39" s="14"/>
      <c r="AT39" s="14"/>
      <c r="AU39" s="14"/>
      <c r="AV39" s="14"/>
      <c r="AW39" s="14"/>
      <c r="AX39" s="14"/>
      <c r="AY39" s="14"/>
      <c r="AZ39" s="14"/>
      <c r="BA39" s="14"/>
      <c r="BB39" s="14"/>
      <c r="BD39" s="19"/>
    </row>
    <row r="40" spans="1:56" x14ac:dyDescent="0.25">
      <c r="A40" s="20" t="s">
        <v>216</v>
      </c>
      <c r="B40" s="20" t="s">
        <v>209</v>
      </c>
      <c r="C40" s="20" t="s">
        <v>157</v>
      </c>
      <c r="D40" s="20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4"/>
      <c r="AR40" s="14"/>
      <c r="AS40" s="14"/>
      <c r="AT40" s="14"/>
      <c r="AU40" s="14"/>
      <c r="AV40" s="14"/>
      <c r="AW40" s="14"/>
      <c r="AX40" s="14"/>
      <c r="AY40" s="14"/>
      <c r="AZ40" s="14"/>
      <c r="BA40" s="14"/>
      <c r="BB40" s="14"/>
      <c r="BD40" s="19"/>
    </row>
    <row r="41" spans="1:56" x14ac:dyDescent="0.25">
      <c r="A41" s="20" t="s">
        <v>217</v>
      </c>
      <c r="B41" s="20" t="s">
        <v>209</v>
      </c>
      <c r="C41" s="20" t="s">
        <v>157</v>
      </c>
      <c r="D41" s="20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Q41" s="14"/>
      <c r="AR41" s="14"/>
      <c r="AS41" s="14"/>
      <c r="AT41" s="14"/>
      <c r="AU41" s="14"/>
      <c r="AV41" s="14"/>
      <c r="AW41" s="14"/>
      <c r="AX41" s="14"/>
      <c r="AY41" s="14"/>
      <c r="AZ41" s="14"/>
      <c r="BA41" s="14"/>
      <c r="BB41" s="14"/>
      <c r="BD41" s="19"/>
    </row>
    <row r="42" spans="1:56" x14ac:dyDescent="0.25">
      <c r="A42" s="20" t="s">
        <v>218</v>
      </c>
      <c r="B42" s="20" t="s">
        <v>209</v>
      </c>
      <c r="C42" s="20" t="s">
        <v>157</v>
      </c>
      <c r="D42" s="20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D42" s="19"/>
    </row>
    <row r="43" spans="1:56" x14ac:dyDescent="0.25">
      <c r="A43" s="14" t="s">
        <v>219</v>
      </c>
      <c r="B43" s="14"/>
      <c r="C43" s="20" t="s">
        <v>157</v>
      </c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W43" s="14"/>
      <c r="AX43" s="14"/>
      <c r="AY43" s="14"/>
      <c r="AZ43" s="14"/>
      <c r="BA43" s="14"/>
      <c r="BB43" s="14"/>
      <c r="BD43" s="19"/>
    </row>
    <row r="44" spans="1:56" x14ac:dyDescent="0.25">
      <c r="A44" s="15" t="s">
        <v>220</v>
      </c>
      <c r="C44" s="20" t="s">
        <v>157</v>
      </c>
      <c r="E44" s="15" t="s">
        <v>221</v>
      </c>
      <c r="F44" s="15" t="s">
        <v>221</v>
      </c>
      <c r="G44" s="15" t="s">
        <v>221</v>
      </c>
      <c r="H44" s="15" t="s">
        <v>221</v>
      </c>
      <c r="I44" s="15" t="s">
        <v>221</v>
      </c>
      <c r="J44" s="15" t="s">
        <v>221</v>
      </c>
      <c r="K44" s="15" t="s">
        <v>221</v>
      </c>
      <c r="L44" s="15" t="s">
        <v>221</v>
      </c>
      <c r="M44" s="15" t="s">
        <v>221</v>
      </c>
      <c r="N44" s="15" t="s">
        <v>221</v>
      </c>
      <c r="O44" s="15" t="s">
        <v>221</v>
      </c>
      <c r="P44" s="15" t="s">
        <v>221</v>
      </c>
      <c r="Q44" s="15" t="s">
        <v>221</v>
      </c>
      <c r="R44" s="15" t="s">
        <v>221</v>
      </c>
      <c r="S44" s="15" t="s">
        <v>221</v>
      </c>
      <c r="T44" s="15" t="s">
        <v>221</v>
      </c>
      <c r="U44" s="15" t="s">
        <v>221</v>
      </c>
      <c r="V44" s="15" t="s">
        <v>221</v>
      </c>
      <c r="W44" s="15" t="s">
        <v>221</v>
      </c>
      <c r="X44" s="15" t="s">
        <v>221</v>
      </c>
      <c r="Y44" s="15" t="s">
        <v>221</v>
      </c>
      <c r="Z44" s="15" t="s">
        <v>221</v>
      </c>
      <c r="AA44" s="15" t="s">
        <v>221</v>
      </c>
      <c r="AB44" s="15" t="s">
        <v>221</v>
      </c>
      <c r="AC44" s="15" t="s">
        <v>221</v>
      </c>
      <c r="AD44" s="15" t="s">
        <v>221</v>
      </c>
      <c r="AE44" s="15" t="s">
        <v>221</v>
      </c>
      <c r="AF44" s="15" t="s">
        <v>221</v>
      </c>
      <c r="AG44" s="15" t="s">
        <v>221</v>
      </c>
      <c r="AH44" s="15" t="s">
        <v>221</v>
      </c>
      <c r="AI44" s="15" t="s">
        <v>221</v>
      </c>
      <c r="AJ44" s="15" t="s">
        <v>221</v>
      </c>
      <c r="AK44" s="15" t="s">
        <v>221</v>
      </c>
      <c r="AL44" s="15" t="s">
        <v>221</v>
      </c>
      <c r="AM44" s="15" t="s">
        <v>221</v>
      </c>
      <c r="AN44" s="15" t="s">
        <v>221</v>
      </c>
      <c r="AO44" s="15" t="s">
        <v>221</v>
      </c>
      <c r="AP44" s="15" t="s">
        <v>221</v>
      </c>
      <c r="AQ44" s="15" t="s">
        <v>221</v>
      </c>
      <c r="AR44" s="15" t="s">
        <v>221</v>
      </c>
      <c r="AS44" s="15" t="s">
        <v>221</v>
      </c>
      <c r="AT44" s="15" t="s">
        <v>221</v>
      </c>
      <c r="AU44" s="15" t="s">
        <v>221</v>
      </c>
      <c r="AV44" s="15" t="s">
        <v>221</v>
      </c>
      <c r="AW44" s="15" t="s">
        <v>221</v>
      </c>
      <c r="AX44" s="15" t="s">
        <v>221</v>
      </c>
      <c r="AY44" s="15" t="s">
        <v>221</v>
      </c>
      <c r="AZ44" s="15" t="s">
        <v>221</v>
      </c>
      <c r="BA44" s="15" t="s">
        <v>221</v>
      </c>
      <c r="BB44" s="15" t="s">
        <v>221</v>
      </c>
    </row>
  </sheetData>
  <mergeCells count="2">
    <mergeCell ref="A3:A4"/>
    <mergeCell ref="B3:B4"/>
  </mergeCells>
  <pageMargins left="0.7" right="0.7" top="0.78749999999999998" bottom="0.78749999999999998" header="0.51180555555555496" footer="0.51180555555555496"/>
  <pageSetup paperSize="9" firstPageNumber="0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I674"/>
  <sheetViews>
    <sheetView tabSelected="1" zoomScaleNormal="100" workbookViewId="0">
      <selection activeCell="G23" sqref="G23"/>
    </sheetView>
  </sheetViews>
  <sheetFormatPr baseColWidth="10" defaultColWidth="11.42578125" defaultRowHeight="15" x14ac:dyDescent="0.25"/>
  <cols>
    <col min="1" max="1" width="6.140625" style="22" customWidth="1"/>
    <col min="2" max="2" width="8.28515625" style="22" customWidth="1"/>
    <col min="3" max="3" width="4" style="23" customWidth="1"/>
    <col min="4" max="5" width="4" style="22" customWidth="1"/>
    <col min="6" max="6" width="9" style="15" customWidth="1"/>
    <col min="7" max="7" width="35" style="15" customWidth="1"/>
    <col min="8" max="8" width="10" style="15" customWidth="1"/>
    <col min="9" max="9" width="7.28515625" style="15" customWidth="1"/>
    <col min="10" max="10" width="12.5703125" style="15" customWidth="1"/>
    <col min="11" max="11" width="12.7109375" style="15" customWidth="1"/>
    <col min="12" max="12" width="18.42578125" style="15" customWidth="1"/>
    <col min="13" max="13" width="11.140625" style="15" customWidth="1"/>
    <col min="14" max="14" width="8.28515625" style="15" customWidth="1"/>
    <col min="15" max="15" width="8.5703125" style="15" customWidth="1"/>
    <col min="16" max="16" width="12" style="15" customWidth="1"/>
    <col min="17" max="17" width="20.7109375" style="15" customWidth="1"/>
    <col min="18" max="18" width="12" style="15" customWidth="1"/>
    <col min="19" max="1023" width="11.42578125" style="15"/>
  </cols>
  <sheetData>
    <row r="1" spans="1:41" s="24" customFormat="1" ht="21" customHeight="1" x14ac:dyDescent="0.2">
      <c r="A1" s="28" t="s">
        <v>222</v>
      </c>
      <c r="B1" s="28" t="s">
        <v>223</v>
      </c>
      <c r="C1" s="28" t="s">
        <v>269</v>
      </c>
      <c r="D1" s="28" t="s">
        <v>270</v>
      </c>
      <c r="E1" s="28" t="s">
        <v>271</v>
      </c>
      <c r="F1" s="28" t="s">
        <v>224</v>
      </c>
      <c r="G1" s="32" t="s">
        <v>240</v>
      </c>
      <c r="H1" s="28" t="s">
        <v>241</v>
      </c>
      <c r="I1" s="28" t="s">
        <v>225</v>
      </c>
      <c r="J1" s="28" t="s">
        <v>226</v>
      </c>
      <c r="K1" s="28" t="s">
        <v>227</v>
      </c>
      <c r="L1" s="28" t="s">
        <v>242</v>
      </c>
      <c r="M1" s="28" t="s">
        <v>243</v>
      </c>
      <c r="N1" s="28" t="s">
        <v>244</v>
      </c>
      <c r="O1" s="28" t="s">
        <v>272</v>
      </c>
      <c r="P1" s="28" t="s">
        <v>273</v>
      </c>
      <c r="Q1" s="28" t="s">
        <v>245</v>
      </c>
      <c r="R1" s="28" t="s">
        <v>228</v>
      </c>
      <c r="S1" s="28" t="s">
        <v>229</v>
      </c>
      <c r="T1" s="28" t="s">
        <v>230</v>
      </c>
      <c r="U1" s="28" t="s">
        <v>231</v>
      </c>
      <c r="V1" s="28" t="s">
        <v>186</v>
      </c>
      <c r="W1" s="28" t="s">
        <v>193</v>
      </c>
      <c r="X1" s="28" t="s">
        <v>202</v>
      </c>
      <c r="Y1" s="28" t="s">
        <v>274</v>
      </c>
      <c r="Z1" s="28" t="s">
        <v>232</v>
      </c>
      <c r="AA1" s="28" t="s">
        <v>233</v>
      </c>
      <c r="AB1" s="28" t="s">
        <v>234</v>
      </c>
      <c r="AC1" s="28" t="s">
        <v>259</v>
      </c>
      <c r="AD1" s="28" t="s">
        <v>248</v>
      </c>
      <c r="AE1" s="28" t="s">
        <v>200</v>
      </c>
      <c r="AF1" s="28" t="s">
        <v>170</v>
      </c>
      <c r="AG1" s="28" t="s">
        <v>172</v>
      </c>
      <c r="AH1" s="28" t="s">
        <v>246</v>
      </c>
      <c r="AI1" s="28" t="s">
        <v>235</v>
      </c>
      <c r="AJ1" s="28" t="s">
        <v>247</v>
      </c>
      <c r="AK1" s="28" t="s">
        <v>236</v>
      </c>
      <c r="AL1" s="28" t="s">
        <v>260</v>
      </c>
      <c r="AM1" s="28" t="s">
        <v>261</v>
      </c>
      <c r="AN1" s="28" t="s">
        <v>262</v>
      </c>
    </row>
    <row r="2" spans="1:41" x14ac:dyDescent="0.25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</row>
    <row r="3" spans="1:41" x14ac:dyDescent="0.25">
      <c r="C3" s="22"/>
      <c r="F3" s="25"/>
      <c r="G3" s="25"/>
      <c r="H3" s="25"/>
      <c r="I3" s="25"/>
      <c r="J3" s="25"/>
      <c r="K3" s="25"/>
      <c r="L3" s="25"/>
      <c r="M3" s="25"/>
      <c r="N3" s="25"/>
      <c r="O3" s="25"/>
      <c r="P3" s="31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6"/>
    </row>
    <row r="4" spans="1:41" x14ac:dyDescent="0.25">
      <c r="C4" s="22"/>
      <c r="F4" s="25"/>
      <c r="G4" s="25"/>
      <c r="H4" s="25"/>
      <c r="I4" s="25"/>
      <c r="J4" s="25"/>
      <c r="K4" s="25"/>
      <c r="L4" s="25"/>
      <c r="M4" s="25"/>
      <c r="N4" s="25"/>
      <c r="O4" s="25"/>
      <c r="P4" s="31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6"/>
    </row>
    <row r="5" spans="1:41" x14ac:dyDescent="0.25">
      <c r="A5" s="30" t="str">
        <f>"Q"&amp;LEFT(B5,FIND(".",B5)-1)</f>
        <v>Q1</v>
      </c>
      <c r="B5" s="30" t="s">
        <v>250</v>
      </c>
      <c r="C5" s="30"/>
      <c r="D5" s="30"/>
      <c r="E5" s="30"/>
      <c r="F5" s="31" t="s">
        <v>237</v>
      </c>
      <c r="G5" s="31" t="s">
        <v>264</v>
      </c>
      <c r="H5" s="31" t="s">
        <v>251</v>
      </c>
      <c r="I5" s="31"/>
      <c r="J5" s="31"/>
      <c r="K5" s="31"/>
      <c r="L5" s="31"/>
      <c r="M5" s="31"/>
      <c r="N5" s="31"/>
      <c r="O5" s="25"/>
      <c r="P5" s="31"/>
      <c r="Q5" s="31"/>
      <c r="R5" s="31"/>
      <c r="S5" s="31"/>
      <c r="T5" s="31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6"/>
    </row>
    <row r="6" spans="1:41" x14ac:dyDescent="0.25">
      <c r="A6" s="30" t="str">
        <f t="shared" ref="A6:A14" si="0">"Q"&amp;LEFT(B6,FIND(".",B6)-1)</f>
        <v>Q2</v>
      </c>
      <c r="B6" s="30" t="s">
        <v>252</v>
      </c>
      <c r="C6" s="30"/>
      <c r="D6" s="30"/>
      <c r="E6" s="30"/>
      <c r="F6" s="31" t="s">
        <v>253</v>
      </c>
      <c r="G6" s="31" t="s">
        <v>265</v>
      </c>
      <c r="H6" s="31" t="s">
        <v>266</v>
      </c>
      <c r="I6" s="31"/>
      <c r="J6" s="31"/>
      <c r="K6" s="31"/>
      <c r="L6" s="31"/>
      <c r="M6" s="31"/>
      <c r="N6" s="31"/>
      <c r="O6" s="25"/>
      <c r="P6" s="31"/>
      <c r="Q6" s="31"/>
      <c r="R6" s="31"/>
      <c r="S6" s="31"/>
      <c r="T6" s="31"/>
      <c r="U6" s="25"/>
      <c r="V6" s="25"/>
      <c r="W6" s="25"/>
      <c r="X6" s="25"/>
      <c r="Y6" s="25"/>
      <c r="Z6" s="25" t="s">
        <v>300</v>
      </c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6"/>
    </row>
    <row r="7" spans="1:41" x14ac:dyDescent="0.25">
      <c r="A7" s="30" t="str">
        <f t="shared" si="0"/>
        <v>Q3</v>
      </c>
      <c r="B7" s="30" t="s">
        <v>254</v>
      </c>
      <c r="C7" s="30"/>
      <c r="D7" s="30"/>
      <c r="E7" s="30"/>
      <c r="F7" s="31" t="s">
        <v>238</v>
      </c>
      <c r="G7" s="31" t="s">
        <v>267</v>
      </c>
      <c r="H7" s="31" t="s">
        <v>268</v>
      </c>
      <c r="I7" s="31"/>
      <c r="J7" s="31"/>
      <c r="K7" s="31"/>
      <c r="L7" s="31"/>
      <c r="M7" s="31"/>
      <c r="N7" s="31"/>
      <c r="O7" s="25"/>
      <c r="P7" s="31"/>
      <c r="Q7" s="31"/>
      <c r="R7" s="31"/>
      <c r="S7" s="31"/>
      <c r="T7" s="31"/>
      <c r="U7" s="25"/>
      <c r="V7" s="25">
        <v>0</v>
      </c>
      <c r="W7" s="25"/>
      <c r="X7" s="25"/>
      <c r="Y7" s="25"/>
      <c r="Z7" s="25"/>
      <c r="AA7" s="25"/>
      <c r="AB7" s="25"/>
      <c r="AC7" s="25">
        <v>0</v>
      </c>
      <c r="AD7" s="14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6"/>
    </row>
    <row r="8" spans="1:41" x14ac:dyDescent="0.25">
      <c r="A8" s="30" t="str">
        <f t="shared" ref="A8" si="1">"Q"&amp;LEFT(B8,FIND(".",B8)-1)</f>
        <v>Q3</v>
      </c>
      <c r="B8" s="30" t="s">
        <v>254</v>
      </c>
      <c r="C8" s="30"/>
      <c r="D8" s="30"/>
      <c r="E8" s="30"/>
      <c r="F8" s="31" t="s">
        <v>237</v>
      </c>
      <c r="G8" s="31" t="s">
        <v>292</v>
      </c>
      <c r="H8" s="31" t="s">
        <v>268</v>
      </c>
      <c r="I8" s="31"/>
      <c r="J8" s="31"/>
      <c r="K8" s="31"/>
      <c r="L8" s="31"/>
      <c r="M8" s="31"/>
      <c r="N8" s="31" t="s">
        <v>279</v>
      </c>
      <c r="O8" s="25"/>
      <c r="P8" s="31"/>
      <c r="Q8" s="31"/>
      <c r="R8" s="31"/>
      <c r="S8" s="31"/>
      <c r="T8" s="31"/>
      <c r="U8" s="25"/>
      <c r="V8" s="25"/>
      <c r="W8" s="25"/>
      <c r="X8" s="25"/>
      <c r="Y8" s="25"/>
      <c r="Z8" s="25"/>
      <c r="AA8" s="25"/>
      <c r="AB8" s="25"/>
      <c r="AC8" s="25">
        <v>0</v>
      </c>
      <c r="AD8" s="14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6"/>
    </row>
    <row r="9" spans="1:41" x14ac:dyDescent="0.25">
      <c r="A9" s="30" t="str">
        <f t="shared" ref="A9" si="2">"Q"&amp;LEFT(B9,FIND(".",B9)-1)</f>
        <v>Q3</v>
      </c>
      <c r="B9" s="30" t="s">
        <v>254</v>
      </c>
      <c r="C9" s="30"/>
      <c r="D9" s="30"/>
      <c r="E9" s="30"/>
      <c r="F9" s="31" t="s">
        <v>237</v>
      </c>
      <c r="G9" s="31" t="s">
        <v>280</v>
      </c>
      <c r="H9" s="31" t="s">
        <v>268</v>
      </c>
      <c r="I9" s="31"/>
      <c r="J9" s="31"/>
      <c r="K9" s="31"/>
      <c r="L9" s="31" t="s">
        <v>299</v>
      </c>
      <c r="M9" s="31"/>
      <c r="N9" s="31" t="s">
        <v>297</v>
      </c>
      <c r="O9" s="25"/>
      <c r="P9" s="31"/>
      <c r="Q9" s="31"/>
      <c r="R9" s="31"/>
      <c r="S9" s="31"/>
      <c r="T9" s="31"/>
      <c r="U9" s="25"/>
      <c r="V9" s="25"/>
      <c r="W9" s="25"/>
      <c r="X9" s="25"/>
      <c r="Y9" s="25"/>
      <c r="Z9" s="25"/>
      <c r="AA9" s="25"/>
      <c r="AB9" s="25"/>
      <c r="AC9" s="25">
        <v>0</v>
      </c>
      <c r="AD9" s="14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6"/>
    </row>
    <row r="10" spans="1:41" x14ac:dyDescent="0.25">
      <c r="A10" s="30" t="str">
        <f t="shared" ref="A10" si="3">"Q"&amp;LEFT(B10,FIND(".",B10)-1)</f>
        <v>Q3</v>
      </c>
      <c r="B10" s="30" t="s">
        <v>254</v>
      </c>
      <c r="C10" s="30"/>
      <c r="D10" s="30"/>
      <c r="E10" s="30"/>
      <c r="F10" s="31" t="s">
        <v>238</v>
      </c>
      <c r="G10" s="31" t="s">
        <v>280</v>
      </c>
      <c r="H10" s="31" t="s">
        <v>268</v>
      </c>
      <c r="I10" s="31"/>
      <c r="J10" s="31"/>
      <c r="K10" s="31"/>
      <c r="L10" s="31"/>
      <c r="M10" s="31"/>
      <c r="N10" s="31"/>
      <c r="O10" s="25"/>
      <c r="P10" s="31"/>
      <c r="Q10" s="31"/>
      <c r="R10" s="31"/>
      <c r="S10" s="31"/>
      <c r="T10" s="31"/>
      <c r="U10" s="25"/>
      <c r="V10" s="25">
        <v>0</v>
      </c>
      <c r="W10" s="25"/>
      <c r="X10" s="25"/>
      <c r="Y10" s="25"/>
      <c r="Z10" s="25"/>
      <c r="AA10" s="25"/>
      <c r="AB10" s="25"/>
      <c r="AC10" s="25"/>
      <c r="AD10" s="14" t="s">
        <v>281</v>
      </c>
      <c r="AE10" s="25"/>
      <c r="AF10" s="25"/>
      <c r="AG10" s="25"/>
      <c r="AH10" s="25" t="s">
        <v>282</v>
      </c>
      <c r="AI10" s="25"/>
      <c r="AJ10" s="25"/>
      <c r="AK10" s="25"/>
      <c r="AL10" s="25"/>
      <c r="AM10" s="25"/>
      <c r="AN10" s="25"/>
      <c r="AO10" s="26"/>
    </row>
    <row r="11" spans="1:41" x14ac:dyDescent="0.25">
      <c r="A11" s="30" t="str">
        <f t="shared" ref="A11:A13" si="4">"Q"&amp;LEFT(B11,FIND(".",B11)-1)</f>
        <v>Q3</v>
      </c>
      <c r="B11" s="30" t="s">
        <v>254</v>
      </c>
      <c r="C11" s="30"/>
      <c r="D11" s="30"/>
      <c r="E11" s="30"/>
      <c r="F11" s="31" t="s">
        <v>238</v>
      </c>
      <c r="G11" s="31" t="s">
        <v>280</v>
      </c>
      <c r="H11" s="31" t="s">
        <v>268</v>
      </c>
      <c r="I11" s="31"/>
      <c r="J11" s="31"/>
      <c r="K11" s="31"/>
      <c r="L11" s="31"/>
      <c r="M11" s="31"/>
      <c r="N11" s="31" t="s">
        <v>279</v>
      </c>
      <c r="O11" s="25"/>
      <c r="P11" s="31"/>
      <c r="Q11" s="31"/>
      <c r="R11" s="31"/>
      <c r="S11" s="31"/>
      <c r="T11" s="31"/>
      <c r="U11" s="25"/>
      <c r="V11" s="25">
        <v>0</v>
      </c>
      <c r="W11" s="25"/>
      <c r="X11" s="25"/>
      <c r="Y11" s="25"/>
      <c r="Z11" s="25"/>
      <c r="AA11" s="25"/>
      <c r="AB11" s="25"/>
      <c r="AC11" s="25">
        <v>0</v>
      </c>
      <c r="AD11" s="14"/>
      <c r="AE11" s="25"/>
      <c r="AF11" s="25" t="s">
        <v>249</v>
      </c>
      <c r="AG11" s="25"/>
      <c r="AH11" s="25"/>
      <c r="AI11" s="25"/>
      <c r="AJ11" s="25"/>
      <c r="AK11" s="25"/>
      <c r="AL11" s="25"/>
      <c r="AM11" s="25"/>
      <c r="AN11" s="25"/>
      <c r="AO11" s="26"/>
    </row>
    <row r="12" spans="1:41" x14ac:dyDescent="0.25">
      <c r="A12" s="30" t="str">
        <f t="shared" ref="A12" si="5">"Q"&amp;LEFT(B12,FIND(".",B12)-1)</f>
        <v>Q3</v>
      </c>
      <c r="B12" s="30" t="s">
        <v>254</v>
      </c>
      <c r="C12" s="30"/>
      <c r="D12" s="30"/>
      <c r="E12" s="30"/>
      <c r="F12" s="31" t="s">
        <v>237</v>
      </c>
      <c r="G12" s="31" t="s">
        <v>293</v>
      </c>
      <c r="H12" s="31" t="s">
        <v>268</v>
      </c>
      <c r="I12" s="31"/>
      <c r="J12" s="31"/>
      <c r="K12" s="31"/>
      <c r="L12" s="31"/>
      <c r="M12" s="31"/>
      <c r="N12" s="31" t="s">
        <v>279</v>
      </c>
      <c r="O12" s="25"/>
      <c r="P12" s="31"/>
      <c r="Q12" s="31"/>
      <c r="R12" s="31"/>
      <c r="S12" s="31"/>
      <c r="T12" s="31"/>
      <c r="U12" s="25"/>
      <c r="V12" s="25"/>
      <c r="W12" s="25"/>
      <c r="X12" s="25"/>
      <c r="Y12" s="25"/>
      <c r="Z12" s="25"/>
      <c r="AA12" s="25"/>
      <c r="AB12" s="25"/>
      <c r="AC12" s="25">
        <v>0</v>
      </c>
      <c r="AD12" s="14"/>
      <c r="AE12" s="25"/>
      <c r="AF12" s="25" t="s">
        <v>249</v>
      </c>
      <c r="AG12" s="25"/>
      <c r="AH12" s="25"/>
      <c r="AI12" s="25"/>
      <c r="AJ12" s="25"/>
      <c r="AK12" s="25"/>
      <c r="AL12" s="25"/>
      <c r="AM12" s="25"/>
      <c r="AN12" s="25"/>
      <c r="AO12" s="26"/>
    </row>
    <row r="13" spans="1:41" x14ac:dyDescent="0.25">
      <c r="A13" s="30" t="str">
        <f t="shared" si="4"/>
        <v>Q4</v>
      </c>
      <c r="B13" s="30" t="s">
        <v>283</v>
      </c>
      <c r="C13" s="30"/>
      <c r="D13" s="30"/>
      <c r="E13" s="30"/>
      <c r="F13" s="31" t="s">
        <v>237</v>
      </c>
      <c r="G13" s="31" t="s">
        <v>284</v>
      </c>
      <c r="H13" s="31" t="s">
        <v>268</v>
      </c>
      <c r="I13" s="31"/>
      <c r="J13" s="31" t="s">
        <v>285</v>
      </c>
      <c r="K13" s="31" t="s">
        <v>286</v>
      </c>
      <c r="L13" s="31"/>
      <c r="M13" s="31"/>
      <c r="N13" s="31" t="s">
        <v>287</v>
      </c>
      <c r="O13" s="25"/>
      <c r="P13" s="31"/>
      <c r="Q13" s="31"/>
      <c r="R13" s="31"/>
      <c r="S13" s="31"/>
      <c r="T13" s="31"/>
      <c r="U13" s="25"/>
      <c r="V13" s="25"/>
      <c r="W13" s="25"/>
      <c r="X13" s="25"/>
      <c r="Y13" s="25"/>
      <c r="Z13" s="25"/>
      <c r="AA13" s="25"/>
      <c r="AB13" s="25"/>
      <c r="AC13" s="25">
        <v>0</v>
      </c>
      <c r="AD13" s="14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6"/>
    </row>
    <row r="14" spans="1:41" x14ac:dyDescent="0.25">
      <c r="A14" s="30" t="str">
        <f t="shared" si="0"/>
        <v>Q5</v>
      </c>
      <c r="B14" s="30" t="s">
        <v>255</v>
      </c>
      <c r="C14" s="30"/>
      <c r="D14" s="30"/>
      <c r="E14" s="30"/>
      <c r="F14" s="31" t="s">
        <v>256</v>
      </c>
      <c r="G14" s="31" t="s">
        <v>257</v>
      </c>
      <c r="H14" s="31" t="s">
        <v>290</v>
      </c>
      <c r="I14" s="31"/>
      <c r="J14" s="31"/>
      <c r="K14" s="31"/>
      <c r="L14" s="31"/>
      <c r="M14" s="31"/>
      <c r="N14" s="31"/>
      <c r="O14" s="25"/>
      <c r="P14" s="31"/>
      <c r="Q14" s="31" t="s">
        <v>258</v>
      </c>
      <c r="R14" s="31" t="s">
        <v>288</v>
      </c>
      <c r="S14" s="31"/>
      <c r="T14" s="31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6"/>
    </row>
    <row r="15" spans="1:41" x14ac:dyDescent="0.25">
      <c r="A15" s="30" t="str">
        <f t="shared" ref="A15:A16" si="6">"Q"&amp;LEFT(B15,FIND(".",B15)-1)</f>
        <v>Q5</v>
      </c>
      <c r="B15" s="30" t="s">
        <v>255</v>
      </c>
      <c r="C15" s="30"/>
      <c r="D15" s="30"/>
      <c r="E15" s="30"/>
      <c r="F15" s="31" t="s">
        <v>256</v>
      </c>
      <c r="G15" s="31" t="s">
        <v>257</v>
      </c>
      <c r="H15" s="31" t="s">
        <v>251</v>
      </c>
      <c r="I15" s="31"/>
      <c r="J15" s="31"/>
      <c r="K15" s="31"/>
      <c r="L15" s="31"/>
      <c r="M15" s="31"/>
      <c r="N15" s="31"/>
      <c r="O15" s="25"/>
      <c r="P15" s="31"/>
      <c r="Q15" s="31" t="s">
        <v>258</v>
      </c>
      <c r="R15" s="31" t="s">
        <v>288</v>
      </c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 t="s">
        <v>291</v>
      </c>
      <c r="AO15" s="26"/>
    </row>
    <row r="16" spans="1:41" x14ac:dyDescent="0.25">
      <c r="A16" s="30" t="str">
        <f t="shared" si="6"/>
        <v>Q6</v>
      </c>
      <c r="B16" s="30" t="s">
        <v>294</v>
      </c>
      <c r="C16" s="30"/>
      <c r="D16" s="30"/>
      <c r="E16" s="30"/>
      <c r="F16" s="31" t="s">
        <v>238</v>
      </c>
      <c r="G16" s="31" t="s">
        <v>295</v>
      </c>
      <c r="H16" s="31" t="s">
        <v>296</v>
      </c>
      <c r="I16" s="31"/>
      <c r="J16" s="31"/>
      <c r="K16" s="31"/>
      <c r="L16" s="31"/>
      <c r="M16" s="31"/>
      <c r="N16" s="31"/>
      <c r="O16" s="25"/>
      <c r="P16" s="31"/>
      <c r="Q16" s="31"/>
      <c r="R16" s="31"/>
      <c r="S16" s="31"/>
      <c r="T16" s="31"/>
      <c r="U16" s="31">
        <v>0</v>
      </c>
      <c r="V16" s="25">
        <v>0</v>
      </c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31" t="s">
        <v>298</v>
      </c>
      <c r="AM16" s="25"/>
      <c r="AN16" s="25"/>
      <c r="AO16" s="26"/>
    </row>
    <row r="17" spans="1:41" x14ac:dyDescent="0.25">
      <c r="A17" s="30" t="str">
        <f t="shared" ref="A17:A18" si="7">"Q"&amp;LEFT(B17,FIND(".",B17)-1)</f>
        <v>Q6</v>
      </c>
      <c r="B17" s="30" t="s">
        <v>294</v>
      </c>
      <c r="C17" s="30"/>
      <c r="D17" s="30"/>
      <c r="E17" s="30"/>
      <c r="F17" s="31" t="s">
        <v>237</v>
      </c>
      <c r="G17" s="31" t="s">
        <v>301</v>
      </c>
      <c r="H17" s="31" t="s">
        <v>296</v>
      </c>
      <c r="I17" s="31"/>
      <c r="J17" s="31" t="s">
        <v>302</v>
      </c>
      <c r="K17" s="31" t="s">
        <v>303</v>
      </c>
      <c r="L17" s="31"/>
      <c r="M17" s="31"/>
      <c r="N17" s="31"/>
      <c r="O17" s="25"/>
      <c r="P17" s="31"/>
      <c r="Q17" s="31"/>
      <c r="R17" s="31"/>
      <c r="S17" s="31"/>
      <c r="T17" s="31"/>
      <c r="U17" s="31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6"/>
    </row>
    <row r="18" spans="1:41" x14ac:dyDescent="0.25">
      <c r="A18" s="30" t="str">
        <f t="shared" si="7"/>
        <v>Q9</v>
      </c>
      <c r="B18" s="30" t="s">
        <v>304</v>
      </c>
      <c r="C18" s="30"/>
      <c r="D18" s="30"/>
      <c r="E18" s="30"/>
      <c r="F18" s="31"/>
      <c r="G18" s="31" t="s">
        <v>307</v>
      </c>
      <c r="H18" s="31" t="s">
        <v>296</v>
      </c>
      <c r="I18" s="31"/>
      <c r="J18" s="31" t="s">
        <v>305</v>
      </c>
      <c r="K18" s="31" t="s">
        <v>306</v>
      </c>
      <c r="L18" s="31"/>
      <c r="M18" s="31"/>
      <c r="N18" s="31"/>
      <c r="O18" s="25"/>
      <c r="P18" s="31"/>
      <c r="Q18" s="31"/>
      <c r="R18" s="31"/>
      <c r="S18" s="31" t="s">
        <v>311</v>
      </c>
      <c r="T18" s="31" t="s">
        <v>310</v>
      </c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6"/>
    </row>
    <row r="19" spans="1:41" x14ac:dyDescent="0.25">
      <c r="A19" s="30" t="str">
        <f t="shared" ref="A19:A24" si="8">"Q"&amp;LEFT(B19,FIND(".",B19)-1)</f>
        <v>Q9</v>
      </c>
      <c r="B19" s="30" t="s">
        <v>304</v>
      </c>
      <c r="C19" s="30"/>
      <c r="D19" s="30"/>
      <c r="E19" s="30"/>
      <c r="F19" s="31"/>
      <c r="G19" s="31" t="s">
        <v>312</v>
      </c>
      <c r="H19" s="31" t="s">
        <v>296</v>
      </c>
      <c r="I19" s="31"/>
      <c r="J19" s="31" t="s">
        <v>305</v>
      </c>
      <c r="K19" s="31" t="s">
        <v>306</v>
      </c>
      <c r="L19" s="31"/>
      <c r="M19" s="31"/>
      <c r="N19" s="31"/>
      <c r="O19" s="25"/>
      <c r="P19" s="31"/>
      <c r="Q19" s="31"/>
      <c r="R19" s="31"/>
      <c r="S19" s="31" t="s">
        <v>313</v>
      </c>
      <c r="T19" s="31" t="s">
        <v>310</v>
      </c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6"/>
    </row>
    <row r="20" spans="1:41" x14ac:dyDescent="0.25">
      <c r="A20" s="30" t="str">
        <f t="shared" si="8"/>
        <v>Q9</v>
      </c>
      <c r="B20" s="30" t="s">
        <v>304</v>
      </c>
      <c r="C20" s="30"/>
      <c r="D20" s="30"/>
      <c r="E20" s="30"/>
      <c r="F20" s="31" t="s">
        <v>237</v>
      </c>
      <c r="G20" s="31" t="s">
        <v>308</v>
      </c>
      <c r="H20" s="31" t="s">
        <v>296</v>
      </c>
      <c r="I20" s="31"/>
      <c r="J20" s="31" t="s">
        <v>305</v>
      </c>
      <c r="K20" s="31" t="s">
        <v>306</v>
      </c>
      <c r="L20" s="31"/>
      <c r="M20" s="31"/>
      <c r="N20" s="31"/>
      <c r="O20" s="25"/>
      <c r="P20" s="31"/>
      <c r="Q20" s="31"/>
      <c r="R20" s="31"/>
      <c r="S20" s="31" t="s">
        <v>309</v>
      </c>
      <c r="T20" s="31" t="s">
        <v>310</v>
      </c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6"/>
    </row>
    <row r="21" spans="1:41" x14ac:dyDescent="0.25">
      <c r="A21" s="30" t="str">
        <f t="shared" si="8"/>
        <v>QNOT CHECKED: 2</v>
      </c>
      <c r="B21" s="30" t="s">
        <v>316</v>
      </c>
      <c r="C21" s="30"/>
      <c r="D21" s="30"/>
      <c r="E21" s="30"/>
      <c r="F21" s="31" t="s">
        <v>253</v>
      </c>
      <c r="G21" s="31" t="s">
        <v>314</v>
      </c>
      <c r="H21" s="31"/>
      <c r="I21" s="31"/>
      <c r="J21" s="31"/>
      <c r="K21" s="31"/>
      <c r="L21" s="31"/>
      <c r="M21" s="31"/>
      <c r="N21" s="31"/>
      <c r="O21" s="25"/>
      <c r="P21" s="31"/>
      <c r="Q21" s="31"/>
      <c r="R21" s="31"/>
      <c r="S21" s="31" t="s">
        <v>309</v>
      </c>
      <c r="T21" s="31" t="s">
        <v>310</v>
      </c>
      <c r="U21" s="25"/>
      <c r="V21" s="25"/>
      <c r="W21" s="25"/>
      <c r="X21" s="25"/>
      <c r="Y21" s="25"/>
      <c r="Z21" s="25" t="s">
        <v>300</v>
      </c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5"/>
      <c r="AO21" s="26"/>
    </row>
    <row r="22" spans="1:41" x14ac:dyDescent="0.25">
      <c r="A22" s="30" t="str">
        <f t="shared" ref="A22" si="9">"Q"&amp;LEFT(B22,FIND(".",B22)-1)</f>
        <v>QWith Unguelt: 2</v>
      </c>
      <c r="B22" s="30" t="s">
        <v>324</v>
      </c>
      <c r="C22" s="30"/>
      <c r="D22" s="30"/>
      <c r="E22" s="30"/>
      <c r="F22" s="31" t="s">
        <v>253</v>
      </c>
      <c r="G22" s="31" t="s">
        <v>326</v>
      </c>
      <c r="H22" s="31" t="s">
        <v>325</v>
      </c>
      <c r="I22" s="31"/>
      <c r="J22" s="31"/>
      <c r="K22" s="31"/>
      <c r="L22" s="31"/>
      <c r="M22" s="31"/>
      <c r="N22" s="31"/>
      <c r="O22" s="25"/>
      <c r="P22" s="31"/>
      <c r="Q22" s="31"/>
      <c r="R22" s="31"/>
      <c r="S22" s="31" t="s">
        <v>309</v>
      </c>
      <c r="T22" s="31" t="s">
        <v>310</v>
      </c>
      <c r="U22" s="25"/>
      <c r="V22" s="25"/>
      <c r="W22" s="25"/>
      <c r="X22" s="25"/>
      <c r="Y22" s="25"/>
      <c r="Z22" s="25" t="s">
        <v>300</v>
      </c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6"/>
    </row>
    <row r="23" spans="1:41" x14ac:dyDescent="0.25">
      <c r="A23" s="30" t="str">
        <f t="shared" si="8"/>
        <v>QNOT CHECKED: 5</v>
      </c>
      <c r="B23" s="30" t="s">
        <v>317</v>
      </c>
      <c r="C23" s="30"/>
      <c r="D23" s="30"/>
      <c r="E23" s="30"/>
      <c r="F23" s="31" t="s">
        <v>256</v>
      </c>
      <c r="G23" s="31" t="s">
        <v>315</v>
      </c>
      <c r="H23" s="31" t="s">
        <v>290</v>
      </c>
      <c r="I23" s="31"/>
      <c r="J23" s="31"/>
      <c r="K23" s="31"/>
      <c r="L23" s="31"/>
      <c r="M23" s="31"/>
      <c r="N23" s="31"/>
      <c r="O23" s="25"/>
      <c r="P23" s="31"/>
      <c r="Q23" s="31" t="s">
        <v>258</v>
      </c>
      <c r="R23" s="31" t="s">
        <v>288</v>
      </c>
      <c r="S23" s="31" t="s">
        <v>309</v>
      </c>
      <c r="T23" s="31" t="s">
        <v>310</v>
      </c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5"/>
      <c r="AM23" s="25"/>
      <c r="AN23" s="25"/>
      <c r="AO23" s="26"/>
    </row>
    <row r="24" spans="1:41" x14ac:dyDescent="0.25">
      <c r="A24" s="30" t="str">
        <f t="shared" si="8"/>
        <v>Q7</v>
      </c>
      <c r="B24" s="30" t="s">
        <v>318</v>
      </c>
      <c r="C24" s="30"/>
      <c r="D24" s="30"/>
      <c r="E24" s="30"/>
      <c r="F24" s="31" t="s">
        <v>238</v>
      </c>
      <c r="G24" s="31" t="s">
        <v>323</v>
      </c>
      <c r="H24" s="31" t="s">
        <v>296</v>
      </c>
      <c r="I24" s="31"/>
      <c r="J24" s="31" t="s">
        <v>319</v>
      </c>
      <c r="K24" s="31" t="s">
        <v>320</v>
      </c>
      <c r="L24" s="31"/>
      <c r="M24" s="31"/>
      <c r="N24" s="31" t="s">
        <v>297</v>
      </c>
      <c r="O24" s="25"/>
      <c r="P24" s="31"/>
      <c r="Q24" s="31"/>
      <c r="R24" s="31"/>
      <c r="S24" s="31" t="s">
        <v>309</v>
      </c>
      <c r="T24" s="31" t="s">
        <v>321</v>
      </c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31" t="s">
        <v>322</v>
      </c>
      <c r="AM24" s="25"/>
      <c r="AN24" s="25"/>
      <c r="AO24" s="26"/>
    </row>
    <row r="25" spans="1:41" x14ac:dyDescent="0.25">
      <c r="C25" s="22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5"/>
      <c r="AM25" s="25"/>
      <c r="AN25" s="25"/>
      <c r="AO25" s="26"/>
    </row>
    <row r="26" spans="1:41" x14ac:dyDescent="0.25">
      <c r="C26" s="22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5"/>
      <c r="AM26" s="25"/>
      <c r="AN26" s="25"/>
      <c r="AO26" s="26"/>
    </row>
    <row r="27" spans="1:41" x14ac:dyDescent="0.25">
      <c r="C27" s="22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5"/>
      <c r="AM27" s="25"/>
      <c r="AN27" s="25"/>
      <c r="AO27" s="26"/>
    </row>
    <row r="28" spans="1:41" x14ac:dyDescent="0.25">
      <c r="C28" s="22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25"/>
      <c r="AM28" s="25"/>
      <c r="AN28" s="25"/>
      <c r="AO28" s="26"/>
    </row>
    <row r="29" spans="1:41" x14ac:dyDescent="0.25">
      <c r="C29" s="22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25"/>
      <c r="AM29" s="25"/>
      <c r="AN29" s="25"/>
      <c r="AO29" s="26"/>
    </row>
    <row r="30" spans="1:41" x14ac:dyDescent="0.25">
      <c r="C30" s="22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5"/>
      <c r="AO30" s="26"/>
    </row>
    <row r="31" spans="1:41" x14ac:dyDescent="0.25">
      <c r="C31" s="22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25"/>
      <c r="AM31" s="25"/>
      <c r="AN31" s="25"/>
      <c r="AO31" s="26"/>
    </row>
    <row r="32" spans="1:41" x14ac:dyDescent="0.25">
      <c r="C32" s="22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25"/>
      <c r="AM32" s="25"/>
      <c r="AN32" s="25"/>
      <c r="AO32" s="26"/>
    </row>
    <row r="33" spans="3:41" x14ac:dyDescent="0.25">
      <c r="C33" s="22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  <c r="AJ33" s="25"/>
      <c r="AK33" s="25"/>
      <c r="AL33" s="25"/>
      <c r="AM33" s="25"/>
      <c r="AN33" s="25"/>
      <c r="AO33" s="26"/>
    </row>
    <row r="34" spans="3:41" x14ac:dyDescent="0.25">
      <c r="C34" s="22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25"/>
      <c r="AJ34" s="25"/>
      <c r="AK34" s="25"/>
      <c r="AL34" s="25"/>
      <c r="AM34" s="25"/>
      <c r="AN34" s="25"/>
      <c r="AO34" s="26"/>
    </row>
    <row r="35" spans="3:41" x14ac:dyDescent="0.25">
      <c r="C35" s="22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  <c r="AK35" s="25"/>
      <c r="AL35" s="25"/>
      <c r="AM35" s="25"/>
      <c r="AN35" s="25"/>
      <c r="AO35" s="26"/>
    </row>
    <row r="36" spans="3:41" x14ac:dyDescent="0.25">
      <c r="C36" s="22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25"/>
      <c r="AJ36" s="25"/>
      <c r="AK36" s="25"/>
      <c r="AL36" s="25"/>
      <c r="AM36" s="25"/>
      <c r="AN36" s="25"/>
      <c r="AO36" s="26"/>
    </row>
    <row r="37" spans="3:41" x14ac:dyDescent="0.25">
      <c r="C37" s="22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  <c r="AK37" s="25"/>
      <c r="AL37" s="25"/>
      <c r="AM37" s="25"/>
      <c r="AN37" s="25"/>
      <c r="AO37" s="26"/>
    </row>
    <row r="38" spans="3:41" x14ac:dyDescent="0.25">
      <c r="C38" s="22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J38" s="25"/>
      <c r="AK38" s="25"/>
      <c r="AL38" s="25"/>
      <c r="AM38" s="25"/>
      <c r="AN38" s="25"/>
      <c r="AO38" s="26"/>
    </row>
    <row r="39" spans="3:41" x14ac:dyDescent="0.25">
      <c r="C39" s="22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/>
      <c r="AK39" s="25"/>
      <c r="AL39" s="25"/>
      <c r="AM39" s="25"/>
      <c r="AN39" s="25"/>
      <c r="AO39" s="26"/>
    </row>
    <row r="40" spans="3:41" x14ac:dyDescent="0.25">
      <c r="C40" s="22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/>
      <c r="AJ40" s="25"/>
      <c r="AK40" s="25"/>
      <c r="AL40" s="25"/>
      <c r="AM40" s="25"/>
      <c r="AN40" s="25"/>
      <c r="AO40" s="26"/>
    </row>
    <row r="41" spans="3:41" x14ac:dyDescent="0.25">
      <c r="C41" s="22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25"/>
      <c r="AK41" s="25"/>
      <c r="AL41" s="25"/>
      <c r="AM41" s="25"/>
      <c r="AN41" s="25"/>
      <c r="AO41" s="26"/>
    </row>
    <row r="42" spans="3:41" x14ac:dyDescent="0.25">
      <c r="C42" s="22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  <c r="AO42" s="26"/>
    </row>
    <row r="43" spans="3:41" x14ac:dyDescent="0.25">
      <c r="C43" s="22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25"/>
      <c r="AJ43" s="25"/>
      <c r="AK43" s="25"/>
      <c r="AL43" s="25"/>
      <c r="AM43" s="25"/>
      <c r="AN43" s="25"/>
      <c r="AO43" s="26"/>
    </row>
    <row r="44" spans="3:41" x14ac:dyDescent="0.25">
      <c r="C44" s="22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  <c r="AG44" s="25"/>
      <c r="AH44" s="25"/>
      <c r="AI44" s="25"/>
      <c r="AJ44" s="25"/>
      <c r="AK44" s="25"/>
      <c r="AL44" s="25"/>
      <c r="AM44" s="25"/>
      <c r="AN44" s="25"/>
      <c r="AO44" s="26"/>
    </row>
    <row r="45" spans="3:41" x14ac:dyDescent="0.25">
      <c r="C45" s="22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  <c r="AG45" s="25"/>
      <c r="AH45" s="25"/>
      <c r="AI45" s="25"/>
      <c r="AJ45" s="25"/>
      <c r="AK45" s="25"/>
      <c r="AL45" s="25"/>
      <c r="AM45" s="25"/>
      <c r="AN45" s="25"/>
      <c r="AO45" s="26"/>
    </row>
    <row r="46" spans="3:41" x14ac:dyDescent="0.25">
      <c r="C46" s="22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  <c r="AG46" s="25"/>
      <c r="AH46" s="25"/>
      <c r="AI46" s="25"/>
      <c r="AJ46" s="25"/>
      <c r="AK46" s="25"/>
      <c r="AL46" s="25"/>
      <c r="AM46" s="25"/>
      <c r="AN46" s="25"/>
      <c r="AO46" s="26"/>
    </row>
    <row r="47" spans="3:41" x14ac:dyDescent="0.25">
      <c r="C47" s="22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  <c r="AJ47" s="25"/>
      <c r="AK47" s="25"/>
      <c r="AL47" s="25"/>
      <c r="AM47" s="25"/>
      <c r="AN47" s="25"/>
      <c r="AO47" s="26"/>
    </row>
    <row r="48" spans="3:41" x14ac:dyDescent="0.25">
      <c r="C48" s="22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25"/>
      <c r="AH48" s="25"/>
      <c r="AI48" s="25"/>
      <c r="AJ48" s="25"/>
      <c r="AK48" s="25"/>
      <c r="AL48" s="25"/>
      <c r="AM48" s="25"/>
      <c r="AN48" s="25"/>
      <c r="AO48" s="26"/>
    </row>
    <row r="49" spans="3:41" x14ac:dyDescent="0.25">
      <c r="C49" s="22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  <c r="AO49" s="26"/>
    </row>
    <row r="50" spans="3:41" x14ac:dyDescent="0.25">
      <c r="C50" s="22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  <c r="AO50" s="26"/>
    </row>
    <row r="51" spans="3:41" x14ac:dyDescent="0.25">
      <c r="C51" s="22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  <c r="AO51" s="26"/>
    </row>
    <row r="52" spans="3:41" x14ac:dyDescent="0.25">
      <c r="C52" s="22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  <c r="AO52" s="26"/>
    </row>
    <row r="53" spans="3:41" x14ac:dyDescent="0.25">
      <c r="C53" s="22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  <c r="AO53" s="26"/>
    </row>
    <row r="54" spans="3:41" x14ac:dyDescent="0.25">
      <c r="C54" s="22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  <c r="AG54" s="25"/>
      <c r="AH54" s="25"/>
      <c r="AI54" s="25"/>
      <c r="AJ54" s="25"/>
      <c r="AK54" s="25"/>
      <c r="AL54" s="25"/>
      <c r="AM54" s="25"/>
      <c r="AN54" s="25"/>
      <c r="AO54" s="26"/>
    </row>
    <row r="55" spans="3:41" x14ac:dyDescent="0.25">
      <c r="C55" s="22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  <c r="AG55" s="25"/>
      <c r="AH55" s="25"/>
      <c r="AI55" s="25"/>
      <c r="AJ55" s="25"/>
      <c r="AK55" s="25"/>
      <c r="AL55" s="25"/>
      <c r="AM55" s="25"/>
      <c r="AN55" s="25"/>
      <c r="AO55" s="26"/>
    </row>
    <row r="56" spans="3:41" x14ac:dyDescent="0.25">
      <c r="C56" s="22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  <c r="AK56" s="25"/>
      <c r="AL56" s="25"/>
      <c r="AM56" s="25"/>
      <c r="AN56" s="25"/>
      <c r="AO56" s="26"/>
    </row>
    <row r="57" spans="3:41" x14ac:dyDescent="0.25">
      <c r="C57" s="22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  <c r="AG57" s="25"/>
      <c r="AH57" s="25"/>
      <c r="AI57" s="25"/>
      <c r="AJ57" s="25"/>
      <c r="AK57" s="25"/>
      <c r="AL57" s="25"/>
      <c r="AM57" s="25"/>
      <c r="AN57" s="25"/>
      <c r="AO57" s="26"/>
    </row>
    <row r="58" spans="3:41" x14ac:dyDescent="0.25">
      <c r="C58" s="22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  <c r="AG58" s="25"/>
      <c r="AH58" s="25"/>
      <c r="AI58" s="25"/>
      <c r="AJ58" s="25"/>
      <c r="AK58" s="25"/>
      <c r="AL58" s="25"/>
      <c r="AM58" s="25"/>
      <c r="AN58" s="25"/>
      <c r="AO58" s="26"/>
    </row>
    <row r="59" spans="3:41" x14ac:dyDescent="0.25">
      <c r="C59" s="22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F59" s="25"/>
      <c r="AG59" s="25"/>
      <c r="AH59" s="25"/>
      <c r="AI59" s="25"/>
      <c r="AJ59" s="25"/>
      <c r="AK59" s="25"/>
      <c r="AL59" s="25"/>
      <c r="AM59" s="25"/>
      <c r="AN59" s="25"/>
      <c r="AO59" s="26"/>
    </row>
    <row r="60" spans="3:41" x14ac:dyDescent="0.25">
      <c r="C60" s="22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F60" s="25"/>
      <c r="AG60" s="25"/>
      <c r="AH60" s="25"/>
      <c r="AI60" s="25"/>
      <c r="AJ60" s="25"/>
      <c r="AK60" s="25"/>
      <c r="AL60" s="25"/>
      <c r="AM60" s="25"/>
      <c r="AN60" s="25"/>
      <c r="AO60" s="26"/>
    </row>
    <row r="61" spans="3:41" x14ac:dyDescent="0.25">
      <c r="C61" s="22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  <c r="AO61" s="26"/>
    </row>
    <row r="62" spans="3:41" x14ac:dyDescent="0.25">
      <c r="C62" s="22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  <c r="AO62" s="26"/>
    </row>
    <row r="63" spans="3:41" x14ac:dyDescent="0.25">
      <c r="C63" s="22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  <c r="AO63" s="26"/>
    </row>
    <row r="64" spans="3:41" x14ac:dyDescent="0.25">
      <c r="C64" s="22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5"/>
      <c r="AM64" s="25"/>
      <c r="AN64" s="25"/>
      <c r="AO64" s="26"/>
    </row>
    <row r="65" spans="3:41" x14ac:dyDescent="0.25">
      <c r="C65" s="22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  <c r="AO65" s="26"/>
    </row>
    <row r="66" spans="3:41" x14ac:dyDescent="0.25">
      <c r="C66" s="22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5"/>
      <c r="AM66" s="25"/>
      <c r="AN66" s="25"/>
      <c r="AO66" s="26"/>
    </row>
    <row r="67" spans="3:41" x14ac:dyDescent="0.25">
      <c r="C67" s="22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  <c r="AO67" s="26"/>
    </row>
    <row r="68" spans="3:41" x14ac:dyDescent="0.25">
      <c r="C68" s="22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  <c r="AM68" s="25"/>
      <c r="AN68" s="25"/>
      <c r="AO68" s="26"/>
    </row>
    <row r="69" spans="3:41" x14ac:dyDescent="0.25">
      <c r="C69" s="22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5"/>
      <c r="AM69" s="25"/>
      <c r="AN69" s="25"/>
      <c r="AO69" s="26"/>
    </row>
    <row r="70" spans="3:41" x14ac:dyDescent="0.25">
      <c r="C70" s="22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5"/>
      <c r="AO70" s="26"/>
    </row>
    <row r="71" spans="3:41" x14ac:dyDescent="0.25">
      <c r="C71" s="22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/>
      <c r="AF71" s="25"/>
      <c r="AG71" s="25"/>
      <c r="AH71" s="25"/>
      <c r="AI71" s="25"/>
      <c r="AJ71" s="25"/>
      <c r="AK71" s="25"/>
      <c r="AL71" s="25"/>
      <c r="AM71" s="25"/>
      <c r="AN71" s="25"/>
      <c r="AO71" s="26"/>
    </row>
    <row r="72" spans="3:41" x14ac:dyDescent="0.25">
      <c r="C72" s="22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  <c r="AF72" s="25"/>
      <c r="AG72" s="25"/>
      <c r="AH72" s="25"/>
      <c r="AI72" s="25"/>
      <c r="AJ72" s="25"/>
      <c r="AK72" s="25"/>
      <c r="AL72" s="25"/>
      <c r="AM72" s="25"/>
      <c r="AN72" s="25"/>
      <c r="AO72" s="26"/>
    </row>
    <row r="73" spans="3:41" x14ac:dyDescent="0.25">
      <c r="C73" s="22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5"/>
      <c r="AF73" s="25"/>
      <c r="AG73" s="25"/>
      <c r="AH73" s="25"/>
      <c r="AI73" s="25"/>
      <c r="AJ73" s="25"/>
      <c r="AK73" s="25"/>
      <c r="AL73" s="25"/>
      <c r="AM73" s="25"/>
      <c r="AN73" s="25"/>
      <c r="AO73" s="26"/>
    </row>
    <row r="74" spans="3:41" x14ac:dyDescent="0.25">
      <c r="C74" s="22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  <c r="AF74" s="25"/>
      <c r="AG74" s="25"/>
      <c r="AH74" s="25"/>
      <c r="AI74" s="25"/>
      <c r="AJ74" s="25"/>
      <c r="AK74" s="25"/>
      <c r="AL74" s="25"/>
      <c r="AM74" s="25"/>
      <c r="AN74" s="25"/>
      <c r="AO74" s="26"/>
    </row>
    <row r="75" spans="3:41" x14ac:dyDescent="0.25">
      <c r="C75" s="22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25"/>
      <c r="AG75" s="25"/>
      <c r="AH75" s="25"/>
      <c r="AI75" s="25"/>
      <c r="AJ75" s="25"/>
      <c r="AK75" s="25"/>
      <c r="AL75" s="25"/>
      <c r="AM75" s="25"/>
      <c r="AN75" s="25"/>
      <c r="AO75" s="26"/>
    </row>
    <row r="76" spans="3:41" x14ac:dyDescent="0.25">
      <c r="C76" s="22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  <c r="AF76" s="25"/>
      <c r="AG76" s="25"/>
      <c r="AH76" s="25"/>
      <c r="AI76" s="25"/>
      <c r="AJ76" s="25"/>
      <c r="AK76" s="25"/>
      <c r="AL76" s="25"/>
      <c r="AM76" s="25"/>
      <c r="AN76" s="25"/>
      <c r="AO76" s="26"/>
    </row>
    <row r="77" spans="3:41" x14ac:dyDescent="0.25">
      <c r="C77" s="22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25"/>
      <c r="AG77" s="25"/>
      <c r="AH77" s="25"/>
      <c r="AI77" s="25"/>
      <c r="AJ77" s="25"/>
      <c r="AK77" s="25"/>
      <c r="AL77" s="25"/>
      <c r="AM77" s="25"/>
      <c r="AN77" s="25"/>
      <c r="AO77" s="26"/>
    </row>
    <row r="78" spans="3:41" x14ac:dyDescent="0.25">
      <c r="C78" s="22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  <c r="AF78" s="25"/>
      <c r="AG78" s="25"/>
      <c r="AH78" s="25"/>
      <c r="AI78" s="25"/>
      <c r="AJ78" s="25"/>
      <c r="AK78" s="25"/>
      <c r="AL78" s="25"/>
      <c r="AM78" s="25"/>
      <c r="AN78" s="25"/>
      <c r="AO78" s="26"/>
    </row>
    <row r="79" spans="3:41" x14ac:dyDescent="0.25">
      <c r="C79" s="22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25"/>
      <c r="AF79" s="25"/>
      <c r="AG79" s="25"/>
      <c r="AH79" s="25"/>
      <c r="AI79" s="25"/>
      <c r="AJ79" s="25"/>
      <c r="AK79" s="25"/>
      <c r="AL79" s="25"/>
      <c r="AM79" s="25"/>
      <c r="AN79" s="25"/>
      <c r="AO79" s="26"/>
    </row>
    <row r="80" spans="3:41" x14ac:dyDescent="0.25">
      <c r="C80" s="22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  <c r="AE80" s="25"/>
      <c r="AF80" s="25"/>
      <c r="AG80" s="25"/>
      <c r="AH80" s="25"/>
      <c r="AI80" s="25"/>
      <c r="AJ80" s="25"/>
      <c r="AK80" s="25"/>
      <c r="AL80" s="25"/>
      <c r="AM80" s="25"/>
      <c r="AN80" s="25"/>
      <c r="AO80" s="26"/>
    </row>
    <row r="81" spans="3:41" x14ac:dyDescent="0.25">
      <c r="C81" s="22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5"/>
      <c r="AE81" s="25"/>
      <c r="AF81" s="25"/>
      <c r="AG81" s="25"/>
      <c r="AH81" s="25"/>
      <c r="AI81" s="25"/>
      <c r="AJ81" s="25"/>
      <c r="AK81" s="25"/>
      <c r="AL81" s="25"/>
      <c r="AM81" s="25"/>
      <c r="AN81" s="25"/>
      <c r="AO81" s="26"/>
    </row>
    <row r="82" spans="3:41" x14ac:dyDescent="0.25">
      <c r="C82" s="22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  <c r="AI82" s="25"/>
      <c r="AJ82" s="25"/>
      <c r="AK82" s="25"/>
      <c r="AL82" s="25"/>
      <c r="AM82" s="25"/>
      <c r="AN82" s="25"/>
      <c r="AO82" s="26"/>
    </row>
    <row r="83" spans="3:41" x14ac:dyDescent="0.25">
      <c r="C83" s="22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/>
      <c r="AF83" s="25"/>
      <c r="AG83" s="25"/>
      <c r="AH83" s="25"/>
      <c r="AI83" s="25"/>
      <c r="AJ83" s="25"/>
      <c r="AK83" s="25"/>
      <c r="AL83" s="25"/>
      <c r="AM83" s="25"/>
      <c r="AN83" s="25"/>
      <c r="AO83" s="26"/>
    </row>
    <row r="84" spans="3:41" x14ac:dyDescent="0.25">
      <c r="C84" s="22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  <c r="AD84" s="25"/>
      <c r="AE84" s="25"/>
      <c r="AF84" s="25"/>
      <c r="AG84" s="25"/>
      <c r="AH84" s="25"/>
      <c r="AI84" s="25"/>
      <c r="AJ84" s="25"/>
      <c r="AK84" s="25"/>
      <c r="AL84" s="25"/>
      <c r="AM84" s="25"/>
      <c r="AN84" s="25"/>
      <c r="AO84" s="26"/>
    </row>
    <row r="85" spans="3:41" x14ac:dyDescent="0.25">
      <c r="C85" s="22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  <c r="AD85" s="25"/>
      <c r="AE85" s="25"/>
      <c r="AF85" s="25"/>
      <c r="AG85" s="25"/>
      <c r="AH85" s="25"/>
      <c r="AI85" s="25"/>
      <c r="AJ85" s="25"/>
      <c r="AK85" s="25"/>
      <c r="AL85" s="25"/>
      <c r="AM85" s="25"/>
      <c r="AN85" s="25"/>
      <c r="AO85" s="26"/>
    </row>
    <row r="86" spans="3:41" x14ac:dyDescent="0.25">
      <c r="C86" s="22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  <c r="AD86" s="25"/>
      <c r="AE86" s="25"/>
      <c r="AF86" s="25"/>
      <c r="AG86" s="25"/>
      <c r="AH86" s="25"/>
      <c r="AI86" s="25"/>
      <c r="AJ86" s="25"/>
      <c r="AK86" s="25"/>
      <c r="AL86" s="25"/>
      <c r="AM86" s="25"/>
      <c r="AN86" s="25"/>
      <c r="AO86" s="26"/>
    </row>
    <row r="87" spans="3:41" x14ac:dyDescent="0.25">
      <c r="C87" s="22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E87" s="25"/>
      <c r="AF87" s="25"/>
      <c r="AG87" s="25"/>
      <c r="AH87" s="25"/>
      <c r="AI87" s="25"/>
      <c r="AJ87" s="25"/>
      <c r="AK87" s="25"/>
      <c r="AL87" s="25"/>
      <c r="AM87" s="25"/>
      <c r="AN87" s="25"/>
      <c r="AO87" s="26"/>
    </row>
    <row r="88" spans="3:41" x14ac:dyDescent="0.25">
      <c r="C88" s="22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  <c r="AD88" s="25"/>
      <c r="AE88" s="25"/>
      <c r="AF88" s="25"/>
      <c r="AG88" s="25"/>
      <c r="AH88" s="25"/>
      <c r="AI88" s="25"/>
      <c r="AJ88" s="25"/>
      <c r="AK88" s="25"/>
      <c r="AL88" s="25"/>
      <c r="AM88" s="25"/>
      <c r="AN88" s="25"/>
      <c r="AO88" s="26"/>
    </row>
    <row r="89" spans="3:41" x14ac:dyDescent="0.25">
      <c r="C89" s="22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  <c r="AD89" s="25"/>
      <c r="AE89" s="25"/>
      <c r="AF89" s="25"/>
      <c r="AG89" s="25"/>
      <c r="AH89" s="25"/>
      <c r="AI89" s="25"/>
      <c r="AJ89" s="25"/>
      <c r="AK89" s="25"/>
      <c r="AL89" s="25"/>
      <c r="AM89" s="25"/>
      <c r="AN89" s="25"/>
      <c r="AO89" s="26"/>
    </row>
    <row r="90" spans="3:41" x14ac:dyDescent="0.25">
      <c r="C90" s="22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  <c r="AD90" s="25"/>
      <c r="AE90" s="25"/>
      <c r="AF90" s="25"/>
      <c r="AG90" s="25"/>
      <c r="AH90" s="25"/>
      <c r="AI90" s="25"/>
      <c r="AJ90" s="25"/>
      <c r="AK90" s="25"/>
      <c r="AL90" s="25"/>
      <c r="AM90" s="25"/>
      <c r="AN90" s="25"/>
      <c r="AO90" s="26"/>
    </row>
    <row r="91" spans="3:41" x14ac:dyDescent="0.25">
      <c r="C91" s="22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  <c r="AD91" s="25"/>
      <c r="AE91" s="25"/>
      <c r="AF91" s="25"/>
      <c r="AG91" s="25"/>
      <c r="AH91" s="25"/>
      <c r="AI91" s="25"/>
      <c r="AJ91" s="25"/>
      <c r="AK91" s="25"/>
      <c r="AL91" s="25"/>
      <c r="AM91" s="25"/>
      <c r="AN91" s="25"/>
      <c r="AO91" s="26"/>
    </row>
    <row r="92" spans="3:41" x14ac:dyDescent="0.25">
      <c r="C92" s="22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  <c r="AD92" s="25"/>
      <c r="AE92" s="25"/>
      <c r="AF92" s="25"/>
      <c r="AG92" s="25"/>
      <c r="AH92" s="25"/>
      <c r="AI92" s="25"/>
      <c r="AJ92" s="25"/>
      <c r="AK92" s="25"/>
      <c r="AL92" s="25"/>
      <c r="AM92" s="25"/>
      <c r="AN92" s="25"/>
      <c r="AO92" s="26"/>
    </row>
    <row r="93" spans="3:41" x14ac:dyDescent="0.25">
      <c r="C93" s="22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  <c r="AG93" s="25"/>
      <c r="AH93" s="25"/>
      <c r="AI93" s="25"/>
      <c r="AJ93" s="25"/>
      <c r="AK93" s="25"/>
      <c r="AL93" s="25"/>
      <c r="AM93" s="25"/>
      <c r="AN93" s="25"/>
      <c r="AO93" s="26"/>
    </row>
    <row r="94" spans="3:41" x14ac:dyDescent="0.25">
      <c r="C94" s="22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  <c r="AD94" s="25"/>
      <c r="AE94" s="25"/>
      <c r="AF94" s="25"/>
      <c r="AG94" s="25"/>
      <c r="AH94" s="25"/>
      <c r="AI94" s="25"/>
      <c r="AJ94" s="25"/>
      <c r="AK94" s="25"/>
      <c r="AL94" s="25"/>
      <c r="AM94" s="25"/>
      <c r="AN94" s="25"/>
      <c r="AO94" s="26"/>
    </row>
    <row r="95" spans="3:41" x14ac:dyDescent="0.25">
      <c r="C95" s="22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  <c r="AL95" s="25"/>
      <c r="AM95" s="25"/>
      <c r="AN95" s="25"/>
      <c r="AO95" s="26"/>
    </row>
    <row r="96" spans="3:41" x14ac:dyDescent="0.25">
      <c r="C96" s="22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  <c r="AL96" s="25"/>
      <c r="AM96" s="25"/>
      <c r="AN96" s="25"/>
      <c r="AO96" s="26"/>
    </row>
    <row r="97" spans="3:41" x14ac:dyDescent="0.25">
      <c r="C97" s="22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25"/>
      <c r="AF97" s="25"/>
      <c r="AG97" s="25"/>
      <c r="AH97" s="25"/>
      <c r="AI97" s="25"/>
      <c r="AJ97" s="25"/>
      <c r="AK97" s="25"/>
      <c r="AL97" s="25"/>
      <c r="AM97" s="25"/>
      <c r="AN97" s="25"/>
      <c r="AO97" s="26"/>
    </row>
    <row r="98" spans="3:41" x14ac:dyDescent="0.25">
      <c r="C98" s="22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  <c r="AD98" s="25"/>
      <c r="AE98" s="25"/>
      <c r="AF98" s="25"/>
      <c r="AG98" s="25"/>
      <c r="AH98" s="25"/>
      <c r="AI98" s="25"/>
      <c r="AJ98" s="25"/>
      <c r="AK98" s="25"/>
      <c r="AL98" s="25"/>
      <c r="AM98" s="25"/>
      <c r="AN98" s="25"/>
      <c r="AO98" s="26"/>
    </row>
    <row r="99" spans="3:41" x14ac:dyDescent="0.25">
      <c r="C99" s="22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  <c r="AD99" s="25"/>
      <c r="AE99" s="25"/>
      <c r="AF99" s="25"/>
      <c r="AG99" s="25"/>
      <c r="AH99" s="25"/>
      <c r="AI99" s="25"/>
      <c r="AJ99" s="25"/>
      <c r="AK99" s="25"/>
      <c r="AL99" s="25"/>
      <c r="AM99" s="25"/>
      <c r="AN99" s="25"/>
      <c r="AO99" s="26"/>
    </row>
    <row r="100" spans="3:41" x14ac:dyDescent="0.25">
      <c r="C100" s="22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  <c r="AE100" s="25"/>
      <c r="AF100" s="25"/>
      <c r="AG100" s="25"/>
      <c r="AH100" s="25"/>
      <c r="AI100" s="25"/>
      <c r="AJ100" s="25"/>
      <c r="AK100" s="25"/>
      <c r="AL100" s="25"/>
      <c r="AM100" s="25"/>
      <c r="AN100" s="25"/>
      <c r="AO100" s="26"/>
    </row>
    <row r="101" spans="3:41" x14ac:dyDescent="0.25">
      <c r="C101" s="22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25"/>
      <c r="AG101" s="25"/>
      <c r="AH101" s="25"/>
      <c r="AI101" s="25"/>
      <c r="AJ101" s="25"/>
      <c r="AK101" s="25"/>
      <c r="AL101" s="25"/>
      <c r="AM101" s="25"/>
      <c r="AN101" s="25"/>
      <c r="AO101" s="26"/>
    </row>
    <row r="102" spans="3:41" x14ac:dyDescent="0.25">
      <c r="C102" s="22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  <c r="AL102" s="25"/>
      <c r="AM102" s="25"/>
      <c r="AN102" s="25"/>
      <c r="AO102" s="26"/>
    </row>
    <row r="103" spans="3:41" x14ac:dyDescent="0.25">
      <c r="C103" s="22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  <c r="AL103" s="25"/>
      <c r="AM103" s="25"/>
      <c r="AN103" s="25"/>
      <c r="AO103" s="26"/>
    </row>
    <row r="104" spans="3:41" x14ac:dyDescent="0.25">
      <c r="C104" s="22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  <c r="AL104" s="25"/>
      <c r="AM104" s="25"/>
      <c r="AN104" s="25"/>
      <c r="AO104" s="26"/>
    </row>
    <row r="105" spans="3:41" x14ac:dyDescent="0.25">
      <c r="C105" s="22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  <c r="AL105" s="25"/>
      <c r="AM105" s="25"/>
      <c r="AN105" s="25"/>
      <c r="AO105" s="26"/>
    </row>
    <row r="106" spans="3:41" x14ac:dyDescent="0.25">
      <c r="C106" s="22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25"/>
      <c r="AL106" s="25"/>
      <c r="AM106" s="25"/>
      <c r="AN106" s="25"/>
      <c r="AO106" s="26"/>
    </row>
    <row r="107" spans="3:41" x14ac:dyDescent="0.25">
      <c r="C107" s="22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  <c r="AL107" s="25"/>
      <c r="AM107" s="25"/>
      <c r="AN107" s="25"/>
      <c r="AO107" s="26"/>
    </row>
    <row r="108" spans="3:41" x14ac:dyDescent="0.25">
      <c r="C108" s="22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5"/>
      <c r="AO108" s="26"/>
    </row>
    <row r="109" spans="3:41" x14ac:dyDescent="0.25">
      <c r="C109" s="22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  <c r="AL109" s="25"/>
      <c r="AM109" s="25"/>
      <c r="AN109" s="25"/>
      <c r="AO109" s="26"/>
    </row>
    <row r="110" spans="3:41" x14ac:dyDescent="0.25">
      <c r="C110" s="22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  <c r="AL110" s="25"/>
      <c r="AM110" s="25"/>
      <c r="AN110" s="25"/>
      <c r="AO110" s="26"/>
    </row>
    <row r="111" spans="3:41" x14ac:dyDescent="0.25">
      <c r="C111" s="22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  <c r="AL111" s="25"/>
      <c r="AM111" s="25"/>
      <c r="AN111" s="25"/>
      <c r="AO111" s="26"/>
    </row>
    <row r="112" spans="3:41" x14ac:dyDescent="0.25">
      <c r="C112" s="22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  <c r="AK112" s="25"/>
      <c r="AL112" s="25"/>
      <c r="AM112" s="25"/>
      <c r="AN112" s="25"/>
      <c r="AO112" s="26"/>
    </row>
    <row r="113" spans="3:41" x14ac:dyDescent="0.25">
      <c r="C113" s="22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25"/>
      <c r="AK113" s="25"/>
      <c r="AL113" s="25"/>
      <c r="AM113" s="25"/>
      <c r="AN113" s="25"/>
      <c r="AO113" s="26"/>
    </row>
    <row r="114" spans="3:41" x14ac:dyDescent="0.25">
      <c r="C114" s="22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  <c r="AL114" s="25"/>
      <c r="AM114" s="25"/>
      <c r="AN114" s="25"/>
      <c r="AO114" s="26"/>
    </row>
    <row r="115" spans="3:41" x14ac:dyDescent="0.25">
      <c r="C115" s="22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  <c r="AL115" s="25"/>
      <c r="AM115" s="25"/>
      <c r="AN115" s="25"/>
      <c r="AO115" s="26"/>
    </row>
    <row r="116" spans="3:41" x14ac:dyDescent="0.25">
      <c r="C116" s="22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  <c r="AL116" s="25"/>
      <c r="AM116" s="25"/>
      <c r="AN116" s="25"/>
      <c r="AO116" s="26"/>
    </row>
    <row r="117" spans="3:41" x14ac:dyDescent="0.25">
      <c r="C117" s="22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  <c r="AL117" s="25"/>
      <c r="AM117" s="25"/>
      <c r="AN117" s="25"/>
      <c r="AO117" s="26"/>
    </row>
    <row r="118" spans="3:41" x14ac:dyDescent="0.25">
      <c r="C118" s="22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  <c r="AL118" s="25"/>
      <c r="AM118" s="25"/>
      <c r="AN118" s="25"/>
      <c r="AO118" s="26"/>
    </row>
    <row r="119" spans="3:41" x14ac:dyDescent="0.25">
      <c r="C119" s="22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25"/>
      <c r="AL119" s="25"/>
      <c r="AM119" s="25"/>
      <c r="AN119" s="25"/>
      <c r="AO119" s="26"/>
    </row>
    <row r="120" spans="3:41" x14ac:dyDescent="0.25">
      <c r="C120" s="22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/>
      <c r="AJ120" s="25"/>
      <c r="AK120" s="25"/>
      <c r="AL120" s="25"/>
      <c r="AM120" s="25"/>
      <c r="AN120" s="25"/>
      <c r="AO120" s="26"/>
    </row>
    <row r="121" spans="3:41" x14ac:dyDescent="0.25">
      <c r="C121" s="22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  <c r="AK121" s="25"/>
      <c r="AL121" s="25"/>
      <c r="AM121" s="25"/>
      <c r="AN121" s="25"/>
      <c r="AO121" s="26"/>
    </row>
    <row r="122" spans="3:41" x14ac:dyDescent="0.25">
      <c r="C122" s="22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  <c r="AI122" s="25"/>
      <c r="AJ122" s="25"/>
      <c r="AK122" s="25"/>
      <c r="AL122" s="25"/>
      <c r="AM122" s="25"/>
      <c r="AN122" s="25"/>
      <c r="AO122" s="26"/>
    </row>
    <row r="123" spans="3:41" x14ac:dyDescent="0.25">
      <c r="C123" s="22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E123" s="25"/>
      <c r="AF123" s="25"/>
      <c r="AG123" s="25"/>
      <c r="AH123" s="25"/>
      <c r="AI123" s="25"/>
      <c r="AJ123" s="25"/>
      <c r="AK123" s="25"/>
      <c r="AL123" s="25"/>
      <c r="AM123" s="25"/>
      <c r="AN123" s="25"/>
      <c r="AO123" s="26"/>
    </row>
    <row r="124" spans="3:41" x14ac:dyDescent="0.25">
      <c r="C124" s="22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25"/>
      <c r="AE124" s="25"/>
      <c r="AF124" s="25"/>
      <c r="AG124" s="25"/>
      <c r="AH124" s="25"/>
      <c r="AI124" s="25"/>
      <c r="AJ124" s="25"/>
      <c r="AK124" s="25"/>
      <c r="AL124" s="25"/>
      <c r="AM124" s="25"/>
      <c r="AN124" s="25"/>
      <c r="AO124" s="26"/>
    </row>
    <row r="125" spans="3:41" x14ac:dyDescent="0.25">
      <c r="C125" s="22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  <c r="AD125" s="25"/>
      <c r="AE125" s="25"/>
      <c r="AF125" s="25"/>
      <c r="AG125" s="25"/>
      <c r="AH125" s="25"/>
      <c r="AI125" s="25"/>
      <c r="AJ125" s="25"/>
      <c r="AK125" s="25"/>
      <c r="AL125" s="25"/>
      <c r="AM125" s="25"/>
      <c r="AN125" s="25"/>
      <c r="AO125" s="26"/>
    </row>
    <row r="126" spans="3:41" x14ac:dyDescent="0.25">
      <c r="C126" s="22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  <c r="AD126" s="25"/>
      <c r="AE126" s="25"/>
      <c r="AF126" s="25"/>
      <c r="AG126" s="25"/>
      <c r="AH126" s="25"/>
      <c r="AI126" s="25"/>
      <c r="AJ126" s="25"/>
      <c r="AK126" s="25"/>
      <c r="AL126" s="25"/>
      <c r="AM126" s="25"/>
      <c r="AN126" s="25"/>
      <c r="AO126" s="26"/>
    </row>
    <row r="127" spans="3:41" x14ac:dyDescent="0.25">
      <c r="C127" s="22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  <c r="AD127" s="25"/>
      <c r="AE127" s="25"/>
      <c r="AF127" s="25"/>
      <c r="AG127" s="25"/>
      <c r="AH127" s="25"/>
      <c r="AI127" s="25"/>
      <c r="AJ127" s="25"/>
      <c r="AK127" s="25"/>
      <c r="AL127" s="25"/>
      <c r="AM127" s="25"/>
      <c r="AN127" s="25"/>
      <c r="AO127" s="26"/>
    </row>
    <row r="128" spans="3:41" x14ac:dyDescent="0.25">
      <c r="C128" s="22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25"/>
      <c r="AE128" s="25"/>
      <c r="AF128" s="25"/>
      <c r="AG128" s="25"/>
      <c r="AH128" s="25"/>
      <c r="AI128" s="25"/>
      <c r="AJ128" s="25"/>
      <c r="AK128" s="25"/>
      <c r="AL128" s="25"/>
      <c r="AM128" s="25"/>
      <c r="AN128" s="25"/>
      <c r="AO128" s="26"/>
    </row>
    <row r="129" spans="3:41" x14ac:dyDescent="0.25">
      <c r="C129" s="22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25"/>
      <c r="AE129" s="25"/>
      <c r="AF129" s="25"/>
      <c r="AG129" s="25"/>
      <c r="AH129" s="25"/>
      <c r="AI129" s="25"/>
      <c r="AJ129" s="25"/>
      <c r="AK129" s="25"/>
      <c r="AL129" s="25"/>
      <c r="AM129" s="25"/>
      <c r="AN129" s="25"/>
      <c r="AO129" s="26"/>
    </row>
    <row r="130" spans="3:41" x14ac:dyDescent="0.25">
      <c r="C130" s="22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  <c r="AG130" s="25"/>
      <c r="AH130" s="25"/>
      <c r="AI130" s="25"/>
      <c r="AJ130" s="25"/>
      <c r="AK130" s="25"/>
      <c r="AL130" s="25"/>
      <c r="AM130" s="25"/>
      <c r="AN130" s="25"/>
      <c r="AO130" s="26"/>
    </row>
    <row r="131" spans="3:41" x14ac:dyDescent="0.25">
      <c r="C131" s="22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  <c r="AI131" s="25"/>
      <c r="AJ131" s="25"/>
      <c r="AK131" s="25"/>
      <c r="AL131" s="25"/>
      <c r="AM131" s="25"/>
      <c r="AN131" s="25"/>
      <c r="AO131" s="26"/>
    </row>
    <row r="132" spans="3:41" x14ac:dyDescent="0.25">
      <c r="C132" s="22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25"/>
      <c r="AE132" s="25"/>
      <c r="AF132" s="25"/>
      <c r="AG132" s="25"/>
      <c r="AH132" s="25"/>
      <c r="AI132" s="25"/>
      <c r="AJ132" s="25"/>
      <c r="AK132" s="25"/>
      <c r="AL132" s="25"/>
      <c r="AM132" s="25"/>
      <c r="AN132" s="25"/>
      <c r="AO132" s="26"/>
    </row>
    <row r="133" spans="3:41" x14ac:dyDescent="0.25">
      <c r="C133" s="22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  <c r="AD133" s="25"/>
      <c r="AE133" s="25"/>
      <c r="AF133" s="25"/>
      <c r="AG133" s="25"/>
      <c r="AH133" s="25"/>
      <c r="AI133" s="25"/>
      <c r="AJ133" s="25"/>
      <c r="AK133" s="25"/>
      <c r="AL133" s="25"/>
      <c r="AM133" s="25"/>
      <c r="AN133" s="25"/>
      <c r="AO133" s="26"/>
    </row>
    <row r="134" spans="3:41" x14ac:dyDescent="0.25">
      <c r="C134" s="22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  <c r="AG134" s="25"/>
      <c r="AH134" s="25"/>
      <c r="AI134" s="25"/>
      <c r="AJ134" s="25"/>
      <c r="AK134" s="25"/>
      <c r="AL134" s="25"/>
      <c r="AM134" s="25"/>
      <c r="AN134" s="25"/>
      <c r="AO134" s="26"/>
    </row>
    <row r="135" spans="3:41" x14ac:dyDescent="0.25">
      <c r="C135" s="22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  <c r="AG135" s="25"/>
      <c r="AH135" s="25"/>
      <c r="AI135" s="25"/>
      <c r="AJ135" s="25"/>
      <c r="AK135" s="25"/>
      <c r="AL135" s="25"/>
      <c r="AM135" s="25"/>
      <c r="AN135" s="25"/>
      <c r="AO135" s="26"/>
    </row>
    <row r="136" spans="3:41" x14ac:dyDescent="0.25">
      <c r="C136" s="22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  <c r="AI136" s="25"/>
      <c r="AJ136" s="25"/>
      <c r="AK136" s="25"/>
      <c r="AL136" s="25"/>
      <c r="AM136" s="25"/>
      <c r="AN136" s="25"/>
      <c r="AO136" s="26"/>
    </row>
    <row r="137" spans="3:41" x14ac:dyDescent="0.25">
      <c r="C137" s="22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25"/>
      <c r="AJ137" s="25"/>
      <c r="AK137" s="25"/>
      <c r="AL137" s="25"/>
      <c r="AM137" s="25"/>
      <c r="AN137" s="25"/>
      <c r="AO137" s="26"/>
    </row>
    <row r="138" spans="3:41" x14ac:dyDescent="0.25">
      <c r="C138" s="22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25"/>
      <c r="AJ138" s="25"/>
      <c r="AK138" s="25"/>
      <c r="AL138" s="25"/>
      <c r="AM138" s="25"/>
      <c r="AN138" s="25"/>
      <c r="AO138" s="26"/>
    </row>
    <row r="139" spans="3:41" x14ac:dyDescent="0.25">
      <c r="C139" s="22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/>
      <c r="AJ139" s="25"/>
      <c r="AK139" s="25"/>
      <c r="AL139" s="25"/>
      <c r="AM139" s="25"/>
      <c r="AN139" s="25"/>
      <c r="AO139" s="26"/>
    </row>
    <row r="140" spans="3:41" x14ac:dyDescent="0.25">
      <c r="C140" s="22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  <c r="AI140" s="25"/>
      <c r="AJ140" s="25"/>
      <c r="AK140" s="25"/>
      <c r="AL140" s="25"/>
      <c r="AM140" s="25"/>
      <c r="AN140" s="25"/>
      <c r="AO140" s="26"/>
    </row>
    <row r="141" spans="3:41" x14ac:dyDescent="0.25">
      <c r="C141" s="22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/>
      <c r="AJ141" s="25"/>
      <c r="AK141" s="25"/>
      <c r="AL141" s="25"/>
      <c r="AM141" s="25"/>
      <c r="AN141" s="25"/>
      <c r="AO141" s="26"/>
    </row>
    <row r="142" spans="3:41" x14ac:dyDescent="0.25">
      <c r="C142" s="22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  <c r="AJ142" s="25"/>
      <c r="AK142" s="25"/>
      <c r="AL142" s="25"/>
      <c r="AM142" s="25"/>
      <c r="AN142" s="25"/>
      <c r="AO142" s="26"/>
    </row>
    <row r="143" spans="3:41" x14ac:dyDescent="0.25">
      <c r="C143" s="22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25"/>
      <c r="AJ143" s="25"/>
      <c r="AK143" s="25"/>
      <c r="AL143" s="25"/>
      <c r="AM143" s="25"/>
      <c r="AN143" s="25"/>
      <c r="AO143" s="26"/>
    </row>
    <row r="144" spans="3:41" x14ac:dyDescent="0.25">
      <c r="C144" s="22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25"/>
      <c r="AH144" s="25"/>
      <c r="AI144" s="25"/>
      <c r="AJ144" s="25"/>
      <c r="AK144" s="25"/>
      <c r="AL144" s="25"/>
      <c r="AM144" s="25"/>
      <c r="AN144" s="25"/>
      <c r="AO144" s="26"/>
    </row>
    <row r="145" spans="3:41" x14ac:dyDescent="0.25">
      <c r="C145" s="22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25"/>
      <c r="AH145" s="25"/>
      <c r="AI145" s="25"/>
      <c r="AJ145" s="25"/>
      <c r="AK145" s="25"/>
      <c r="AL145" s="25"/>
      <c r="AM145" s="25"/>
      <c r="AN145" s="25"/>
      <c r="AO145" s="26"/>
    </row>
    <row r="146" spans="3:41" x14ac:dyDescent="0.25">
      <c r="C146" s="22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25"/>
      <c r="AJ146" s="25"/>
      <c r="AK146" s="25"/>
      <c r="AL146" s="25"/>
      <c r="AM146" s="25"/>
      <c r="AN146" s="25"/>
      <c r="AO146" s="26"/>
    </row>
    <row r="147" spans="3:41" x14ac:dyDescent="0.25">
      <c r="C147" s="22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25"/>
      <c r="AH147" s="25"/>
      <c r="AI147" s="25"/>
      <c r="AJ147" s="25"/>
      <c r="AK147" s="25"/>
      <c r="AL147" s="25"/>
      <c r="AM147" s="25"/>
      <c r="AN147" s="25"/>
      <c r="AO147" s="26"/>
    </row>
    <row r="148" spans="3:41" x14ac:dyDescent="0.25">
      <c r="C148" s="22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  <c r="AJ148" s="25"/>
      <c r="AK148" s="25"/>
      <c r="AL148" s="25"/>
      <c r="AM148" s="25"/>
      <c r="AN148" s="25"/>
      <c r="AO148" s="26"/>
    </row>
    <row r="149" spans="3:41" x14ac:dyDescent="0.25">
      <c r="C149" s="22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J149" s="25"/>
      <c r="AK149" s="25"/>
      <c r="AL149" s="25"/>
      <c r="AM149" s="25"/>
      <c r="AN149" s="25"/>
      <c r="AO149" s="26"/>
    </row>
    <row r="150" spans="3:41" x14ac:dyDescent="0.25">
      <c r="C150" s="22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  <c r="AI150" s="25"/>
      <c r="AJ150" s="25"/>
      <c r="AK150" s="25"/>
      <c r="AL150" s="25"/>
      <c r="AM150" s="25"/>
      <c r="AN150" s="25"/>
      <c r="AO150" s="26"/>
    </row>
    <row r="151" spans="3:41" x14ac:dyDescent="0.25">
      <c r="C151" s="22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25"/>
      <c r="AH151" s="25"/>
      <c r="AI151" s="25"/>
      <c r="AJ151" s="25"/>
      <c r="AK151" s="25"/>
      <c r="AL151" s="25"/>
      <c r="AM151" s="25"/>
      <c r="AN151" s="25"/>
      <c r="AO151" s="26"/>
    </row>
    <row r="152" spans="3:41" x14ac:dyDescent="0.25">
      <c r="C152" s="22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25"/>
      <c r="AH152" s="25"/>
      <c r="AI152" s="25"/>
      <c r="AJ152" s="25"/>
      <c r="AK152" s="25"/>
      <c r="AL152" s="25"/>
      <c r="AM152" s="25"/>
      <c r="AN152" s="25"/>
      <c r="AO152" s="26"/>
    </row>
    <row r="153" spans="3:41" x14ac:dyDescent="0.25">
      <c r="C153" s="22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25"/>
      <c r="AH153" s="25"/>
      <c r="AI153" s="25"/>
      <c r="AJ153" s="25"/>
      <c r="AK153" s="25"/>
      <c r="AL153" s="25"/>
      <c r="AM153" s="25"/>
      <c r="AN153" s="25"/>
      <c r="AO153" s="26"/>
    </row>
    <row r="154" spans="3:41" x14ac:dyDescent="0.25">
      <c r="C154" s="22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25"/>
      <c r="AH154" s="25"/>
      <c r="AI154" s="25"/>
      <c r="AJ154" s="25"/>
      <c r="AK154" s="25"/>
      <c r="AL154" s="25"/>
      <c r="AM154" s="25"/>
      <c r="AN154" s="25"/>
      <c r="AO154" s="26"/>
    </row>
    <row r="155" spans="3:41" x14ac:dyDescent="0.25">
      <c r="C155" s="22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25"/>
      <c r="AH155" s="25"/>
      <c r="AI155" s="25"/>
      <c r="AJ155" s="25"/>
      <c r="AK155" s="25"/>
      <c r="AL155" s="25"/>
      <c r="AM155" s="25"/>
      <c r="AN155" s="25"/>
      <c r="AO155" s="26"/>
    </row>
    <row r="156" spans="3:41" x14ac:dyDescent="0.25">
      <c r="C156" s="22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G156" s="25"/>
      <c r="AH156" s="25"/>
      <c r="AI156" s="25"/>
      <c r="AJ156" s="25"/>
      <c r="AK156" s="25"/>
      <c r="AL156" s="25"/>
      <c r="AM156" s="25"/>
      <c r="AN156" s="25"/>
      <c r="AO156" s="26"/>
    </row>
    <row r="157" spans="3:41" x14ac:dyDescent="0.25">
      <c r="C157" s="22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G157" s="25"/>
      <c r="AH157" s="25"/>
      <c r="AI157" s="25"/>
      <c r="AJ157" s="25"/>
      <c r="AK157" s="25"/>
      <c r="AL157" s="25"/>
      <c r="AM157" s="25"/>
      <c r="AN157" s="25"/>
      <c r="AO157" s="26"/>
    </row>
    <row r="158" spans="3:41" x14ac:dyDescent="0.25">
      <c r="C158" s="22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  <c r="AG158" s="25"/>
      <c r="AH158" s="25"/>
      <c r="AI158" s="25"/>
      <c r="AJ158" s="25"/>
      <c r="AK158" s="25"/>
      <c r="AL158" s="25"/>
      <c r="AM158" s="25"/>
      <c r="AN158" s="25"/>
      <c r="AO158" s="26"/>
    </row>
    <row r="159" spans="3:41" x14ac:dyDescent="0.25">
      <c r="C159" s="22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  <c r="AC159" s="25"/>
      <c r="AD159" s="25"/>
      <c r="AE159" s="25"/>
      <c r="AF159" s="25"/>
      <c r="AG159" s="25"/>
      <c r="AH159" s="25"/>
      <c r="AI159" s="25"/>
      <c r="AJ159" s="25"/>
      <c r="AK159" s="25"/>
      <c r="AL159" s="25"/>
      <c r="AM159" s="25"/>
      <c r="AN159" s="25"/>
      <c r="AO159" s="26"/>
    </row>
    <row r="160" spans="3:41" x14ac:dyDescent="0.25">
      <c r="C160" s="22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5"/>
      <c r="AM160" s="25"/>
      <c r="AN160" s="25"/>
      <c r="AO160" s="26"/>
    </row>
    <row r="161" spans="3:41" x14ac:dyDescent="0.25">
      <c r="C161" s="22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  <c r="AG161" s="25"/>
      <c r="AH161" s="25"/>
      <c r="AI161" s="25"/>
      <c r="AJ161" s="25"/>
      <c r="AK161" s="25"/>
      <c r="AL161" s="25"/>
      <c r="AM161" s="25"/>
      <c r="AN161" s="25"/>
      <c r="AO161" s="26"/>
    </row>
    <row r="162" spans="3:41" x14ac:dyDescent="0.25">
      <c r="C162" s="22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  <c r="AH162" s="25"/>
      <c r="AI162" s="25"/>
      <c r="AJ162" s="25"/>
      <c r="AK162" s="25"/>
      <c r="AL162" s="25"/>
      <c r="AM162" s="25"/>
      <c r="AN162" s="25"/>
      <c r="AO162" s="26"/>
    </row>
    <row r="163" spans="3:41" x14ac:dyDescent="0.25">
      <c r="C163" s="22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  <c r="AG163" s="25"/>
      <c r="AH163" s="25"/>
      <c r="AI163" s="25"/>
      <c r="AJ163" s="25"/>
      <c r="AK163" s="25"/>
      <c r="AL163" s="25"/>
      <c r="AM163" s="25"/>
      <c r="AN163" s="25"/>
      <c r="AO163" s="26"/>
    </row>
    <row r="164" spans="3:41" x14ac:dyDescent="0.25">
      <c r="C164" s="22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  <c r="AJ164" s="25"/>
      <c r="AK164" s="25"/>
      <c r="AL164" s="25"/>
      <c r="AM164" s="25"/>
      <c r="AN164" s="25"/>
      <c r="AO164" s="26"/>
    </row>
    <row r="165" spans="3:41" x14ac:dyDescent="0.25">
      <c r="C165" s="22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  <c r="AG165" s="25"/>
      <c r="AH165" s="25"/>
      <c r="AI165" s="25"/>
      <c r="AJ165" s="25"/>
      <c r="AK165" s="25"/>
      <c r="AL165" s="25"/>
      <c r="AM165" s="25"/>
      <c r="AN165" s="25"/>
      <c r="AO165" s="26"/>
    </row>
    <row r="166" spans="3:41" x14ac:dyDescent="0.25">
      <c r="C166" s="22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25"/>
      <c r="AH166" s="25"/>
      <c r="AI166" s="25"/>
      <c r="AJ166" s="25"/>
      <c r="AK166" s="25"/>
      <c r="AL166" s="25"/>
      <c r="AM166" s="25"/>
      <c r="AN166" s="25"/>
      <c r="AO166" s="26"/>
    </row>
    <row r="167" spans="3:41" x14ac:dyDescent="0.25">
      <c r="C167" s="22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  <c r="AC167" s="25"/>
      <c r="AD167" s="25"/>
      <c r="AE167" s="25"/>
      <c r="AF167" s="25"/>
      <c r="AG167" s="25"/>
      <c r="AH167" s="25"/>
      <c r="AI167" s="25"/>
      <c r="AJ167" s="25"/>
      <c r="AK167" s="25"/>
      <c r="AL167" s="25"/>
      <c r="AM167" s="25"/>
      <c r="AN167" s="25"/>
      <c r="AO167" s="26"/>
    </row>
    <row r="168" spans="3:41" x14ac:dyDescent="0.25">
      <c r="C168" s="22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  <c r="AC168" s="25"/>
      <c r="AD168" s="25"/>
      <c r="AE168" s="25"/>
      <c r="AF168" s="25"/>
      <c r="AG168" s="25"/>
      <c r="AH168" s="25"/>
      <c r="AI168" s="25"/>
      <c r="AJ168" s="25"/>
      <c r="AK168" s="25"/>
      <c r="AL168" s="25"/>
      <c r="AM168" s="25"/>
      <c r="AN168" s="25"/>
      <c r="AO168" s="26"/>
    </row>
    <row r="169" spans="3:41" x14ac:dyDescent="0.25">
      <c r="C169" s="22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  <c r="AC169" s="25"/>
      <c r="AD169" s="25"/>
      <c r="AE169" s="25"/>
      <c r="AF169" s="25"/>
      <c r="AG169" s="25"/>
      <c r="AH169" s="25"/>
      <c r="AI169" s="25"/>
      <c r="AJ169" s="25"/>
      <c r="AK169" s="25"/>
      <c r="AL169" s="25"/>
      <c r="AM169" s="25"/>
      <c r="AN169" s="25"/>
      <c r="AO169" s="26"/>
    </row>
    <row r="170" spans="3:41" x14ac:dyDescent="0.25">
      <c r="C170" s="22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  <c r="AC170" s="25"/>
      <c r="AD170" s="25"/>
      <c r="AE170" s="25"/>
      <c r="AF170" s="25"/>
      <c r="AG170" s="25"/>
      <c r="AH170" s="25"/>
      <c r="AI170" s="25"/>
      <c r="AJ170" s="25"/>
      <c r="AK170" s="25"/>
      <c r="AL170" s="25"/>
      <c r="AM170" s="25"/>
      <c r="AN170" s="25"/>
      <c r="AO170" s="26"/>
    </row>
    <row r="171" spans="3:41" x14ac:dyDescent="0.25">
      <c r="C171" s="22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  <c r="AG171" s="25"/>
      <c r="AH171" s="25"/>
      <c r="AI171" s="25"/>
      <c r="AJ171" s="25"/>
      <c r="AK171" s="25"/>
      <c r="AL171" s="25"/>
      <c r="AM171" s="25"/>
      <c r="AN171" s="25"/>
      <c r="AO171" s="26"/>
    </row>
    <row r="172" spans="3:41" x14ac:dyDescent="0.25">
      <c r="C172" s="22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  <c r="AG172" s="25"/>
      <c r="AH172" s="25"/>
      <c r="AI172" s="25"/>
      <c r="AJ172" s="25"/>
      <c r="AK172" s="25"/>
      <c r="AL172" s="25"/>
      <c r="AM172" s="25"/>
      <c r="AN172" s="25"/>
      <c r="AO172" s="26"/>
    </row>
    <row r="173" spans="3:41" x14ac:dyDescent="0.25">
      <c r="C173" s="22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25"/>
      <c r="AH173" s="25"/>
      <c r="AI173" s="25"/>
      <c r="AJ173" s="25"/>
      <c r="AK173" s="25"/>
      <c r="AL173" s="25"/>
      <c r="AM173" s="25"/>
      <c r="AN173" s="25"/>
      <c r="AO173" s="26"/>
    </row>
    <row r="174" spans="3:41" x14ac:dyDescent="0.25">
      <c r="C174" s="22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25"/>
      <c r="AH174" s="25"/>
      <c r="AI174" s="25"/>
      <c r="AJ174" s="25"/>
      <c r="AK174" s="25"/>
      <c r="AL174" s="25"/>
      <c r="AM174" s="25"/>
      <c r="AN174" s="25"/>
      <c r="AO174" s="26"/>
    </row>
    <row r="175" spans="3:41" x14ac:dyDescent="0.25">
      <c r="C175" s="22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25"/>
      <c r="AH175" s="25"/>
      <c r="AI175" s="25"/>
      <c r="AJ175" s="25"/>
      <c r="AK175" s="25"/>
      <c r="AL175" s="25"/>
      <c r="AM175" s="25"/>
      <c r="AN175" s="25"/>
      <c r="AO175" s="26"/>
    </row>
    <row r="176" spans="3:41" x14ac:dyDescent="0.25">
      <c r="C176" s="22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25"/>
      <c r="AH176" s="25"/>
      <c r="AI176" s="25"/>
      <c r="AJ176" s="25"/>
      <c r="AK176" s="25"/>
      <c r="AL176" s="25"/>
      <c r="AM176" s="25"/>
      <c r="AN176" s="25"/>
      <c r="AO176" s="26"/>
    </row>
    <row r="177" spans="3:41" x14ac:dyDescent="0.25">
      <c r="C177" s="22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  <c r="AG177" s="25"/>
      <c r="AH177" s="25"/>
      <c r="AI177" s="25"/>
      <c r="AJ177" s="25"/>
      <c r="AK177" s="25"/>
      <c r="AL177" s="25"/>
      <c r="AM177" s="25"/>
      <c r="AN177" s="25"/>
      <c r="AO177" s="26"/>
    </row>
    <row r="178" spans="3:41" x14ac:dyDescent="0.25">
      <c r="C178" s="22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  <c r="AG178" s="25"/>
      <c r="AH178" s="25"/>
      <c r="AI178" s="25"/>
      <c r="AJ178" s="25"/>
      <c r="AK178" s="25"/>
      <c r="AL178" s="25"/>
      <c r="AM178" s="25"/>
      <c r="AN178" s="25"/>
      <c r="AO178" s="26"/>
    </row>
    <row r="179" spans="3:41" x14ac:dyDescent="0.25">
      <c r="C179" s="22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  <c r="AG179" s="25"/>
      <c r="AH179" s="25"/>
      <c r="AI179" s="25"/>
      <c r="AJ179" s="25"/>
      <c r="AK179" s="25"/>
      <c r="AL179" s="25"/>
      <c r="AM179" s="25"/>
      <c r="AN179" s="25"/>
      <c r="AO179" s="26"/>
    </row>
    <row r="180" spans="3:41" x14ac:dyDescent="0.25">
      <c r="C180" s="22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  <c r="AG180" s="25"/>
      <c r="AH180" s="25"/>
      <c r="AI180" s="25"/>
      <c r="AJ180" s="25"/>
      <c r="AK180" s="25"/>
      <c r="AL180" s="25"/>
      <c r="AM180" s="25"/>
      <c r="AN180" s="25"/>
      <c r="AO180" s="26"/>
    </row>
    <row r="181" spans="3:41" x14ac:dyDescent="0.25">
      <c r="C181" s="22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  <c r="AG181" s="25"/>
      <c r="AH181" s="25"/>
      <c r="AI181" s="25"/>
      <c r="AJ181" s="25"/>
      <c r="AK181" s="25"/>
      <c r="AL181" s="25"/>
      <c r="AM181" s="25"/>
      <c r="AN181" s="25"/>
      <c r="AO181" s="26"/>
    </row>
    <row r="182" spans="3:41" x14ac:dyDescent="0.25">
      <c r="C182" s="22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  <c r="AG182" s="25"/>
      <c r="AH182" s="25"/>
      <c r="AI182" s="25"/>
      <c r="AJ182" s="25"/>
      <c r="AK182" s="25"/>
      <c r="AL182" s="25"/>
      <c r="AM182" s="25"/>
      <c r="AN182" s="25"/>
      <c r="AO182" s="26"/>
    </row>
    <row r="183" spans="3:41" x14ac:dyDescent="0.25">
      <c r="C183" s="22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  <c r="AG183" s="25"/>
      <c r="AH183" s="25"/>
      <c r="AI183" s="25"/>
      <c r="AJ183" s="25"/>
      <c r="AK183" s="25"/>
      <c r="AL183" s="25"/>
      <c r="AM183" s="25"/>
      <c r="AN183" s="25"/>
      <c r="AO183" s="26"/>
    </row>
    <row r="184" spans="3:41" x14ac:dyDescent="0.25">
      <c r="C184" s="22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  <c r="AG184" s="25"/>
      <c r="AH184" s="25"/>
      <c r="AI184" s="25"/>
      <c r="AJ184" s="25"/>
      <c r="AK184" s="25"/>
      <c r="AL184" s="25"/>
      <c r="AM184" s="25"/>
      <c r="AN184" s="25"/>
      <c r="AO184" s="26"/>
    </row>
    <row r="185" spans="3:41" x14ac:dyDescent="0.25">
      <c r="C185" s="22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  <c r="AG185" s="25"/>
      <c r="AH185" s="25"/>
      <c r="AI185" s="25"/>
      <c r="AJ185" s="25"/>
      <c r="AK185" s="25"/>
      <c r="AL185" s="25"/>
      <c r="AM185" s="25"/>
      <c r="AN185" s="25"/>
      <c r="AO185" s="26"/>
    </row>
    <row r="186" spans="3:41" x14ac:dyDescent="0.25">
      <c r="C186" s="22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  <c r="AL186" s="25"/>
      <c r="AM186" s="25"/>
      <c r="AN186" s="25"/>
      <c r="AO186" s="26"/>
    </row>
    <row r="187" spans="3:41" x14ac:dyDescent="0.25">
      <c r="C187" s="22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  <c r="AG187" s="25"/>
      <c r="AH187" s="25"/>
      <c r="AI187" s="25"/>
      <c r="AJ187" s="25"/>
      <c r="AK187" s="25"/>
      <c r="AL187" s="25"/>
      <c r="AM187" s="25"/>
      <c r="AN187" s="25"/>
      <c r="AO187" s="26"/>
    </row>
    <row r="188" spans="3:41" x14ac:dyDescent="0.25">
      <c r="C188" s="22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  <c r="AG188" s="25"/>
      <c r="AH188" s="25"/>
      <c r="AI188" s="25"/>
      <c r="AJ188" s="25"/>
      <c r="AK188" s="25"/>
      <c r="AL188" s="25"/>
      <c r="AM188" s="25"/>
      <c r="AN188" s="25"/>
      <c r="AO188" s="26"/>
    </row>
    <row r="189" spans="3:41" x14ac:dyDescent="0.25">
      <c r="C189" s="22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  <c r="AG189" s="25"/>
      <c r="AH189" s="25"/>
      <c r="AI189" s="25"/>
      <c r="AJ189" s="25"/>
      <c r="AK189" s="25"/>
      <c r="AL189" s="25"/>
      <c r="AM189" s="25"/>
      <c r="AN189" s="25"/>
      <c r="AO189" s="26"/>
    </row>
    <row r="190" spans="3:41" x14ac:dyDescent="0.25">
      <c r="C190" s="22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  <c r="AG190" s="25"/>
      <c r="AH190" s="25"/>
      <c r="AI190" s="25"/>
      <c r="AJ190" s="25"/>
      <c r="AK190" s="25"/>
      <c r="AL190" s="25"/>
      <c r="AM190" s="25"/>
      <c r="AN190" s="25"/>
      <c r="AO190" s="26"/>
    </row>
    <row r="191" spans="3:41" x14ac:dyDescent="0.25">
      <c r="C191" s="22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  <c r="AG191" s="25"/>
      <c r="AH191" s="25"/>
      <c r="AI191" s="25"/>
      <c r="AJ191" s="25"/>
      <c r="AK191" s="25"/>
      <c r="AL191" s="25"/>
      <c r="AM191" s="25"/>
      <c r="AN191" s="25"/>
      <c r="AO191" s="26"/>
    </row>
    <row r="192" spans="3:41" x14ac:dyDescent="0.25">
      <c r="C192" s="22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  <c r="AG192" s="25"/>
      <c r="AH192" s="25"/>
      <c r="AI192" s="25"/>
      <c r="AJ192" s="25"/>
      <c r="AK192" s="25"/>
      <c r="AL192" s="25"/>
      <c r="AM192" s="25"/>
      <c r="AN192" s="25"/>
      <c r="AO192" s="26"/>
    </row>
    <row r="193" spans="3:41" x14ac:dyDescent="0.25">
      <c r="C193" s="22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  <c r="AG193" s="25"/>
      <c r="AH193" s="25"/>
      <c r="AI193" s="25"/>
      <c r="AJ193" s="25"/>
      <c r="AK193" s="25"/>
      <c r="AL193" s="25"/>
      <c r="AM193" s="25"/>
      <c r="AN193" s="25"/>
      <c r="AO193" s="26"/>
    </row>
    <row r="194" spans="3:41" x14ac:dyDescent="0.25">
      <c r="C194" s="22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  <c r="AB194" s="25"/>
      <c r="AC194" s="25"/>
      <c r="AD194" s="25"/>
      <c r="AE194" s="25"/>
      <c r="AF194" s="25"/>
      <c r="AG194" s="25"/>
      <c r="AH194" s="25"/>
      <c r="AI194" s="25"/>
      <c r="AJ194" s="25"/>
      <c r="AK194" s="25"/>
      <c r="AL194" s="25"/>
      <c r="AM194" s="25"/>
      <c r="AN194" s="25"/>
      <c r="AO194" s="26"/>
    </row>
    <row r="195" spans="3:41" x14ac:dyDescent="0.25">
      <c r="C195" s="22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  <c r="AE195" s="25"/>
      <c r="AF195" s="25"/>
      <c r="AG195" s="25"/>
      <c r="AH195" s="25"/>
      <c r="AI195" s="25"/>
      <c r="AJ195" s="25"/>
      <c r="AK195" s="25"/>
      <c r="AL195" s="25"/>
      <c r="AM195" s="25"/>
      <c r="AN195" s="25"/>
      <c r="AO195" s="26"/>
    </row>
    <row r="196" spans="3:41" x14ac:dyDescent="0.25">
      <c r="C196" s="22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  <c r="AG196" s="25"/>
      <c r="AH196" s="25"/>
      <c r="AI196" s="25"/>
      <c r="AJ196" s="25"/>
      <c r="AK196" s="25"/>
      <c r="AL196" s="25"/>
      <c r="AM196" s="25"/>
      <c r="AN196" s="25"/>
      <c r="AO196" s="26"/>
    </row>
    <row r="197" spans="3:41" x14ac:dyDescent="0.25">
      <c r="C197" s="22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  <c r="AG197" s="25"/>
      <c r="AH197" s="25"/>
      <c r="AI197" s="25"/>
      <c r="AJ197" s="25"/>
      <c r="AK197" s="25"/>
      <c r="AL197" s="25"/>
      <c r="AM197" s="25"/>
      <c r="AN197" s="25"/>
      <c r="AO197" s="26"/>
    </row>
    <row r="198" spans="3:41" x14ac:dyDescent="0.25">
      <c r="C198" s="22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  <c r="AB198" s="25"/>
      <c r="AC198" s="25"/>
      <c r="AD198" s="25"/>
      <c r="AE198" s="25"/>
      <c r="AF198" s="25"/>
      <c r="AG198" s="25"/>
      <c r="AH198" s="25"/>
      <c r="AI198" s="25"/>
      <c r="AJ198" s="25"/>
      <c r="AK198" s="25"/>
      <c r="AL198" s="25"/>
      <c r="AM198" s="25"/>
      <c r="AN198" s="25"/>
      <c r="AO198" s="26"/>
    </row>
    <row r="199" spans="3:41" x14ac:dyDescent="0.25">
      <c r="C199" s="22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  <c r="AE199" s="25"/>
      <c r="AF199" s="25"/>
      <c r="AG199" s="25"/>
      <c r="AH199" s="25"/>
      <c r="AI199" s="25"/>
      <c r="AJ199" s="25"/>
      <c r="AK199" s="25"/>
      <c r="AL199" s="25"/>
      <c r="AM199" s="25"/>
      <c r="AN199" s="25"/>
      <c r="AO199" s="26"/>
    </row>
    <row r="200" spans="3:41" x14ac:dyDescent="0.25">
      <c r="C200" s="22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  <c r="AG200" s="25"/>
      <c r="AH200" s="25"/>
      <c r="AI200" s="25"/>
      <c r="AJ200" s="25"/>
      <c r="AK200" s="25"/>
      <c r="AL200" s="25"/>
      <c r="AM200" s="25"/>
      <c r="AN200" s="25"/>
      <c r="AO200" s="26"/>
    </row>
    <row r="201" spans="3:41" x14ac:dyDescent="0.25">
      <c r="C201" s="22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  <c r="AG201" s="25"/>
      <c r="AH201" s="25"/>
      <c r="AI201" s="25"/>
      <c r="AJ201" s="25"/>
      <c r="AK201" s="25"/>
      <c r="AL201" s="25"/>
      <c r="AM201" s="25"/>
      <c r="AN201" s="25"/>
      <c r="AO201" s="26"/>
    </row>
    <row r="202" spans="3:41" x14ac:dyDescent="0.25">
      <c r="C202" s="22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  <c r="AG202" s="25"/>
      <c r="AH202" s="25"/>
      <c r="AI202" s="25"/>
      <c r="AJ202" s="25"/>
      <c r="AK202" s="25"/>
      <c r="AL202" s="25"/>
      <c r="AM202" s="25"/>
      <c r="AN202" s="25"/>
      <c r="AO202" s="26"/>
    </row>
    <row r="203" spans="3:41" x14ac:dyDescent="0.25">
      <c r="C203" s="22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  <c r="AG203" s="25"/>
      <c r="AH203" s="25"/>
      <c r="AI203" s="25"/>
      <c r="AJ203" s="25"/>
      <c r="AK203" s="25"/>
      <c r="AL203" s="25"/>
      <c r="AM203" s="25"/>
      <c r="AN203" s="25"/>
      <c r="AO203" s="26"/>
    </row>
    <row r="204" spans="3:41" x14ac:dyDescent="0.25">
      <c r="C204" s="22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  <c r="AG204" s="25"/>
      <c r="AH204" s="25"/>
      <c r="AI204" s="25"/>
      <c r="AJ204" s="25"/>
      <c r="AK204" s="25"/>
      <c r="AL204" s="25"/>
      <c r="AM204" s="25"/>
      <c r="AN204" s="25"/>
      <c r="AO204" s="26"/>
    </row>
    <row r="205" spans="3:41" x14ac:dyDescent="0.25">
      <c r="C205" s="22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  <c r="AG205" s="25"/>
      <c r="AH205" s="25"/>
      <c r="AI205" s="25"/>
      <c r="AJ205" s="25"/>
      <c r="AK205" s="25"/>
      <c r="AL205" s="25"/>
      <c r="AM205" s="25"/>
      <c r="AN205" s="25"/>
      <c r="AO205" s="26"/>
    </row>
    <row r="206" spans="3:41" x14ac:dyDescent="0.25">
      <c r="C206" s="22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  <c r="AG206" s="25"/>
      <c r="AH206" s="25"/>
      <c r="AI206" s="25"/>
      <c r="AJ206" s="25"/>
      <c r="AK206" s="25"/>
      <c r="AL206" s="25"/>
      <c r="AM206" s="25"/>
      <c r="AN206" s="25"/>
      <c r="AO206" s="26"/>
    </row>
    <row r="207" spans="3:41" x14ac:dyDescent="0.25">
      <c r="C207" s="22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  <c r="AG207" s="25"/>
      <c r="AH207" s="25"/>
      <c r="AI207" s="25"/>
      <c r="AJ207" s="25"/>
      <c r="AK207" s="25"/>
      <c r="AL207" s="25"/>
      <c r="AM207" s="25"/>
      <c r="AN207" s="25"/>
      <c r="AO207" s="26"/>
    </row>
    <row r="208" spans="3:41" x14ac:dyDescent="0.25">
      <c r="C208" s="22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  <c r="AG208" s="25"/>
      <c r="AH208" s="25"/>
      <c r="AI208" s="25"/>
      <c r="AJ208" s="25"/>
      <c r="AK208" s="25"/>
      <c r="AL208" s="25"/>
      <c r="AM208" s="25"/>
      <c r="AN208" s="25"/>
      <c r="AO208" s="26"/>
    </row>
    <row r="209" spans="3:41" x14ac:dyDescent="0.25">
      <c r="C209" s="22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  <c r="AG209" s="25"/>
      <c r="AH209" s="25"/>
      <c r="AI209" s="25"/>
      <c r="AJ209" s="25"/>
      <c r="AK209" s="25"/>
      <c r="AL209" s="25"/>
      <c r="AM209" s="25"/>
      <c r="AN209" s="25"/>
      <c r="AO209" s="26"/>
    </row>
    <row r="210" spans="3:41" x14ac:dyDescent="0.25">
      <c r="C210" s="22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  <c r="AG210" s="25"/>
      <c r="AH210" s="25"/>
      <c r="AI210" s="25"/>
      <c r="AJ210" s="25"/>
      <c r="AK210" s="25"/>
      <c r="AL210" s="25"/>
      <c r="AM210" s="25"/>
      <c r="AN210" s="25"/>
      <c r="AO210" s="26"/>
    </row>
    <row r="211" spans="3:41" x14ac:dyDescent="0.25">
      <c r="C211" s="22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  <c r="AG211" s="25"/>
      <c r="AH211" s="25"/>
      <c r="AI211" s="25"/>
      <c r="AJ211" s="25"/>
      <c r="AK211" s="25"/>
      <c r="AL211" s="25"/>
      <c r="AM211" s="25"/>
      <c r="AN211" s="25"/>
      <c r="AO211" s="26"/>
    </row>
    <row r="212" spans="3:41" x14ac:dyDescent="0.25">
      <c r="C212" s="22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  <c r="AL212" s="25"/>
      <c r="AM212" s="25"/>
      <c r="AN212" s="25"/>
      <c r="AO212" s="26"/>
    </row>
    <row r="213" spans="3:41" x14ac:dyDescent="0.25">
      <c r="C213" s="22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  <c r="AG213" s="25"/>
      <c r="AH213" s="25"/>
      <c r="AI213" s="25"/>
      <c r="AJ213" s="25"/>
      <c r="AK213" s="25"/>
      <c r="AL213" s="25"/>
      <c r="AM213" s="25"/>
      <c r="AN213" s="25"/>
      <c r="AO213" s="26"/>
    </row>
    <row r="214" spans="3:41" x14ac:dyDescent="0.25">
      <c r="C214" s="22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  <c r="AG214" s="25"/>
      <c r="AH214" s="25"/>
      <c r="AI214" s="25"/>
      <c r="AJ214" s="25"/>
      <c r="AK214" s="25"/>
      <c r="AL214" s="25"/>
      <c r="AM214" s="25"/>
      <c r="AN214" s="25"/>
      <c r="AO214" s="26"/>
    </row>
    <row r="215" spans="3:41" x14ac:dyDescent="0.25">
      <c r="C215" s="22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  <c r="AG215" s="25"/>
      <c r="AH215" s="25"/>
      <c r="AI215" s="25"/>
      <c r="AJ215" s="25"/>
      <c r="AK215" s="25"/>
      <c r="AL215" s="25"/>
      <c r="AM215" s="25"/>
      <c r="AN215" s="25"/>
      <c r="AO215" s="26"/>
    </row>
    <row r="216" spans="3:41" x14ac:dyDescent="0.25">
      <c r="C216" s="22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  <c r="AG216" s="25"/>
      <c r="AH216" s="25"/>
      <c r="AI216" s="25"/>
      <c r="AJ216" s="25"/>
      <c r="AK216" s="25"/>
      <c r="AL216" s="25"/>
      <c r="AM216" s="25"/>
      <c r="AN216" s="25"/>
      <c r="AO216" s="26"/>
    </row>
    <row r="217" spans="3:41" x14ac:dyDescent="0.25">
      <c r="C217" s="22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  <c r="AG217" s="25"/>
      <c r="AH217" s="25"/>
      <c r="AI217" s="25"/>
      <c r="AJ217" s="25"/>
      <c r="AK217" s="25"/>
      <c r="AL217" s="25"/>
      <c r="AM217" s="25"/>
      <c r="AN217" s="25"/>
      <c r="AO217" s="26"/>
    </row>
    <row r="218" spans="3:41" x14ac:dyDescent="0.25">
      <c r="C218" s="22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  <c r="AG218" s="25"/>
      <c r="AH218" s="25"/>
      <c r="AI218" s="25"/>
      <c r="AJ218" s="25"/>
      <c r="AK218" s="25"/>
      <c r="AL218" s="25"/>
      <c r="AM218" s="25"/>
      <c r="AN218" s="25"/>
      <c r="AO218" s="26"/>
    </row>
    <row r="219" spans="3:41" x14ac:dyDescent="0.25">
      <c r="C219" s="22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  <c r="AG219" s="25"/>
      <c r="AH219" s="25"/>
      <c r="AI219" s="25"/>
      <c r="AJ219" s="25"/>
      <c r="AK219" s="25"/>
      <c r="AL219" s="25"/>
      <c r="AM219" s="25"/>
      <c r="AN219" s="25"/>
      <c r="AO219" s="26"/>
    </row>
    <row r="220" spans="3:41" x14ac:dyDescent="0.25">
      <c r="C220" s="22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  <c r="AG220" s="25"/>
      <c r="AH220" s="25"/>
      <c r="AI220" s="25"/>
      <c r="AJ220" s="25"/>
      <c r="AK220" s="25"/>
      <c r="AL220" s="25"/>
      <c r="AM220" s="25"/>
      <c r="AN220" s="25"/>
      <c r="AO220" s="26"/>
    </row>
    <row r="221" spans="3:41" x14ac:dyDescent="0.25">
      <c r="C221" s="22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  <c r="AA221" s="25"/>
      <c r="AB221" s="25"/>
      <c r="AC221" s="25"/>
      <c r="AD221" s="25"/>
      <c r="AE221" s="25"/>
      <c r="AF221" s="25"/>
      <c r="AG221" s="25"/>
      <c r="AH221" s="25"/>
      <c r="AI221" s="25"/>
      <c r="AJ221" s="25"/>
      <c r="AK221" s="25"/>
      <c r="AL221" s="25"/>
      <c r="AM221" s="25"/>
      <c r="AN221" s="25"/>
      <c r="AO221" s="26"/>
    </row>
    <row r="222" spans="3:41" x14ac:dyDescent="0.25">
      <c r="C222" s="22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  <c r="AA222" s="25"/>
      <c r="AB222" s="25"/>
      <c r="AC222" s="25"/>
      <c r="AD222" s="25"/>
      <c r="AE222" s="25"/>
      <c r="AF222" s="25"/>
      <c r="AG222" s="25"/>
      <c r="AH222" s="25"/>
      <c r="AI222" s="25"/>
      <c r="AJ222" s="25"/>
      <c r="AK222" s="25"/>
      <c r="AL222" s="25"/>
      <c r="AM222" s="25"/>
      <c r="AN222" s="25"/>
      <c r="AO222" s="26"/>
    </row>
    <row r="223" spans="3:41" x14ac:dyDescent="0.25">
      <c r="C223" s="22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  <c r="AA223" s="25"/>
      <c r="AB223" s="25"/>
      <c r="AC223" s="25"/>
      <c r="AD223" s="25"/>
      <c r="AE223" s="25"/>
      <c r="AF223" s="25"/>
      <c r="AG223" s="25"/>
      <c r="AH223" s="25"/>
      <c r="AI223" s="25"/>
      <c r="AJ223" s="25"/>
      <c r="AK223" s="25"/>
      <c r="AL223" s="25"/>
      <c r="AM223" s="25"/>
      <c r="AN223" s="25"/>
      <c r="AO223" s="26"/>
    </row>
    <row r="224" spans="3:41" x14ac:dyDescent="0.25">
      <c r="C224" s="22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  <c r="AA224" s="25"/>
      <c r="AB224" s="25"/>
      <c r="AC224" s="25"/>
      <c r="AD224" s="25"/>
      <c r="AE224" s="25"/>
      <c r="AF224" s="25"/>
      <c r="AG224" s="25"/>
      <c r="AH224" s="25"/>
      <c r="AI224" s="25"/>
      <c r="AJ224" s="25"/>
      <c r="AK224" s="25"/>
      <c r="AL224" s="25"/>
      <c r="AM224" s="25"/>
      <c r="AN224" s="25"/>
      <c r="AO224" s="26"/>
    </row>
    <row r="225" spans="3:41" x14ac:dyDescent="0.25">
      <c r="C225" s="22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  <c r="AA225" s="25"/>
      <c r="AB225" s="25"/>
      <c r="AC225" s="25"/>
      <c r="AD225" s="25"/>
      <c r="AE225" s="25"/>
      <c r="AF225" s="25"/>
      <c r="AG225" s="25"/>
      <c r="AH225" s="25"/>
      <c r="AI225" s="25"/>
      <c r="AJ225" s="25"/>
      <c r="AK225" s="25"/>
      <c r="AL225" s="25"/>
      <c r="AM225" s="25"/>
      <c r="AN225" s="25"/>
      <c r="AO225" s="26"/>
    </row>
    <row r="226" spans="3:41" x14ac:dyDescent="0.25">
      <c r="C226" s="22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  <c r="AA226" s="25"/>
      <c r="AB226" s="25"/>
      <c r="AC226" s="25"/>
      <c r="AD226" s="25"/>
      <c r="AE226" s="25"/>
      <c r="AF226" s="25"/>
      <c r="AG226" s="25"/>
      <c r="AH226" s="25"/>
      <c r="AI226" s="25"/>
      <c r="AJ226" s="25"/>
      <c r="AK226" s="25"/>
      <c r="AL226" s="25"/>
      <c r="AM226" s="25"/>
      <c r="AN226" s="25"/>
      <c r="AO226" s="26"/>
    </row>
    <row r="227" spans="3:41" x14ac:dyDescent="0.25">
      <c r="C227" s="22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  <c r="AA227" s="25"/>
      <c r="AB227" s="25"/>
      <c r="AC227" s="25"/>
      <c r="AD227" s="25"/>
      <c r="AE227" s="25"/>
      <c r="AF227" s="25"/>
      <c r="AG227" s="25"/>
      <c r="AH227" s="25"/>
      <c r="AI227" s="25"/>
      <c r="AJ227" s="25"/>
      <c r="AK227" s="25"/>
      <c r="AL227" s="25"/>
      <c r="AM227" s="25"/>
      <c r="AN227" s="25"/>
      <c r="AO227" s="26"/>
    </row>
    <row r="228" spans="3:41" x14ac:dyDescent="0.25">
      <c r="C228" s="22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  <c r="AA228" s="25"/>
      <c r="AB228" s="25"/>
      <c r="AC228" s="25"/>
      <c r="AD228" s="25"/>
      <c r="AE228" s="25"/>
      <c r="AF228" s="25"/>
      <c r="AG228" s="25"/>
      <c r="AH228" s="25"/>
      <c r="AI228" s="25"/>
      <c r="AJ228" s="25"/>
      <c r="AK228" s="25"/>
      <c r="AL228" s="25"/>
      <c r="AM228" s="25"/>
      <c r="AN228" s="25"/>
      <c r="AO228" s="26"/>
    </row>
    <row r="229" spans="3:41" x14ac:dyDescent="0.25">
      <c r="C229" s="22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  <c r="AA229" s="25"/>
      <c r="AB229" s="25"/>
      <c r="AC229" s="25"/>
      <c r="AD229" s="25"/>
      <c r="AE229" s="25"/>
      <c r="AF229" s="25"/>
      <c r="AG229" s="25"/>
      <c r="AH229" s="25"/>
      <c r="AI229" s="25"/>
      <c r="AJ229" s="25"/>
      <c r="AK229" s="25"/>
      <c r="AL229" s="25"/>
      <c r="AM229" s="25"/>
      <c r="AN229" s="25"/>
      <c r="AO229" s="26"/>
    </row>
    <row r="230" spans="3:41" x14ac:dyDescent="0.25">
      <c r="C230" s="22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  <c r="AA230" s="25"/>
      <c r="AB230" s="25"/>
      <c r="AC230" s="25"/>
      <c r="AD230" s="25"/>
      <c r="AE230" s="25"/>
      <c r="AF230" s="25"/>
      <c r="AG230" s="25"/>
      <c r="AH230" s="25"/>
      <c r="AI230" s="25"/>
      <c r="AJ230" s="25"/>
      <c r="AK230" s="25"/>
      <c r="AL230" s="25"/>
      <c r="AM230" s="25"/>
      <c r="AN230" s="25"/>
      <c r="AO230" s="26"/>
    </row>
    <row r="231" spans="3:41" x14ac:dyDescent="0.25">
      <c r="C231" s="22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  <c r="AA231" s="25"/>
      <c r="AB231" s="25"/>
      <c r="AC231" s="25"/>
      <c r="AD231" s="25"/>
      <c r="AE231" s="25"/>
      <c r="AF231" s="25"/>
      <c r="AG231" s="25"/>
      <c r="AH231" s="25"/>
      <c r="AI231" s="25"/>
      <c r="AJ231" s="25"/>
      <c r="AK231" s="25"/>
      <c r="AL231" s="25"/>
      <c r="AM231" s="25"/>
      <c r="AN231" s="25"/>
      <c r="AO231" s="26"/>
    </row>
    <row r="232" spans="3:41" x14ac:dyDescent="0.25">
      <c r="C232" s="22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  <c r="AA232" s="25"/>
      <c r="AB232" s="25"/>
      <c r="AC232" s="25"/>
      <c r="AD232" s="25"/>
      <c r="AE232" s="25"/>
      <c r="AF232" s="25"/>
      <c r="AG232" s="25"/>
      <c r="AH232" s="25"/>
      <c r="AI232" s="25"/>
      <c r="AJ232" s="25"/>
      <c r="AK232" s="25"/>
      <c r="AL232" s="25"/>
      <c r="AM232" s="25"/>
      <c r="AN232" s="25"/>
      <c r="AO232" s="26"/>
    </row>
    <row r="233" spans="3:41" x14ac:dyDescent="0.25">
      <c r="C233" s="22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  <c r="AA233" s="25"/>
      <c r="AB233" s="25"/>
      <c r="AC233" s="25"/>
      <c r="AD233" s="25"/>
      <c r="AE233" s="25"/>
      <c r="AF233" s="25"/>
      <c r="AG233" s="25"/>
      <c r="AH233" s="25"/>
      <c r="AI233" s="25"/>
      <c r="AJ233" s="25"/>
      <c r="AK233" s="25"/>
      <c r="AL233" s="25"/>
      <c r="AM233" s="25"/>
      <c r="AN233" s="25"/>
      <c r="AO233" s="26"/>
    </row>
    <row r="234" spans="3:41" x14ac:dyDescent="0.25">
      <c r="C234" s="22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  <c r="AC234" s="25"/>
      <c r="AD234" s="25"/>
      <c r="AE234" s="25"/>
      <c r="AF234" s="25"/>
      <c r="AG234" s="25"/>
      <c r="AH234" s="25"/>
      <c r="AI234" s="25"/>
      <c r="AJ234" s="25"/>
      <c r="AK234" s="25"/>
      <c r="AL234" s="25"/>
      <c r="AM234" s="25"/>
      <c r="AN234" s="25"/>
      <c r="AO234" s="26"/>
    </row>
    <row r="235" spans="3:41" x14ac:dyDescent="0.25">
      <c r="C235" s="22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  <c r="AA235" s="25"/>
      <c r="AB235" s="25"/>
      <c r="AC235" s="25"/>
      <c r="AD235" s="25"/>
      <c r="AE235" s="25"/>
      <c r="AF235" s="25"/>
      <c r="AG235" s="25"/>
      <c r="AH235" s="25"/>
      <c r="AI235" s="25"/>
      <c r="AJ235" s="25"/>
      <c r="AK235" s="25"/>
      <c r="AL235" s="25"/>
      <c r="AM235" s="25"/>
      <c r="AN235" s="25"/>
      <c r="AO235" s="26"/>
    </row>
    <row r="236" spans="3:41" x14ac:dyDescent="0.25">
      <c r="C236" s="22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  <c r="AA236" s="25"/>
      <c r="AB236" s="25"/>
      <c r="AC236" s="25"/>
      <c r="AD236" s="25"/>
      <c r="AE236" s="25"/>
      <c r="AF236" s="25"/>
      <c r="AG236" s="25"/>
      <c r="AH236" s="25"/>
      <c r="AI236" s="25"/>
      <c r="AJ236" s="25"/>
      <c r="AK236" s="25"/>
      <c r="AL236" s="25"/>
      <c r="AM236" s="25"/>
      <c r="AN236" s="25"/>
      <c r="AO236" s="26"/>
    </row>
    <row r="237" spans="3:41" x14ac:dyDescent="0.25">
      <c r="C237" s="22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  <c r="AA237" s="25"/>
      <c r="AB237" s="25"/>
      <c r="AC237" s="25"/>
      <c r="AD237" s="25"/>
      <c r="AE237" s="25"/>
      <c r="AF237" s="25"/>
      <c r="AG237" s="25"/>
      <c r="AH237" s="25"/>
      <c r="AI237" s="25"/>
      <c r="AJ237" s="25"/>
      <c r="AK237" s="25"/>
      <c r="AL237" s="25"/>
      <c r="AM237" s="25"/>
      <c r="AN237" s="25"/>
      <c r="AO237" s="26"/>
    </row>
    <row r="238" spans="3:41" x14ac:dyDescent="0.25">
      <c r="C238" s="22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  <c r="AC238" s="25"/>
      <c r="AD238" s="25"/>
      <c r="AE238" s="25"/>
      <c r="AF238" s="25"/>
      <c r="AG238" s="25"/>
      <c r="AH238" s="25"/>
      <c r="AI238" s="25"/>
      <c r="AJ238" s="25"/>
      <c r="AK238" s="25"/>
      <c r="AL238" s="25"/>
      <c r="AM238" s="25"/>
      <c r="AN238" s="25"/>
      <c r="AO238" s="26"/>
    </row>
    <row r="239" spans="3:41" x14ac:dyDescent="0.25">
      <c r="C239" s="22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  <c r="AA239" s="25"/>
      <c r="AB239" s="25"/>
      <c r="AC239" s="25"/>
      <c r="AD239" s="25"/>
      <c r="AE239" s="25"/>
      <c r="AF239" s="25"/>
      <c r="AG239" s="25"/>
      <c r="AH239" s="25"/>
      <c r="AI239" s="25"/>
      <c r="AJ239" s="25"/>
      <c r="AK239" s="25"/>
      <c r="AL239" s="25"/>
      <c r="AM239" s="25"/>
      <c r="AN239" s="25"/>
      <c r="AO239" s="26"/>
    </row>
    <row r="240" spans="3:41" x14ac:dyDescent="0.25">
      <c r="C240" s="22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  <c r="AA240" s="25"/>
      <c r="AB240" s="25"/>
      <c r="AC240" s="25"/>
      <c r="AD240" s="25"/>
      <c r="AE240" s="25"/>
      <c r="AF240" s="25"/>
      <c r="AG240" s="25"/>
      <c r="AH240" s="25"/>
      <c r="AI240" s="25"/>
      <c r="AJ240" s="25"/>
      <c r="AK240" s="25"/>
      <c r="AL240" s="25"/>
      <c r="AM240" s="25"/>
      <c r="AN240" s="25"/>
      <c r="AO240" s="26"/>
    </row>
    <row r="241" spans="3:41" x14ac:dyDescent="0.25">
      <c r="C241" s="22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  <c r="AA241" s="25"/>
      <c r="AB241" s="25"/>
      <c r="AC241" s="25"/>
      <c r="AD241" s="25"/>
      <c r="AE241" s="25"/>
      <c r="AF241" s="25"/>
      <c r="AG241" s="25"/>
      <c r="AH241" s="25"/>
      <c r="AI241" s="25"/>
      <c r="AJ241" s="25"/>
      <c r="AK241" s="25"/>
      <c r="AL241" s="25"/>
      <c r="AM241" s="25"/>
      <c r="AN241" s="25"/>
      <c r="AO241" s="26"/>
    </row>
    <row r="242" spans="3:41" x14ac:dyDescent="0.25">
      <c r="C242" s="22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  <c r="AA242" s="25"/>
      <c r="AB242" s="25"/>
      <c r="AC242" s="25"/>
      <c r="AD242" s="25"/>
      <c r="AE242" s="25"/>
      <c r="AF242" s="25"/>
      <c r="AG242" s="25"/>
      <c r="AH242" s="25"/>
      <c r="AI242" s="25"/>
      <c r="AJ242" s="25"/>
      <c r="AK242" s="25"/>
      <c r="AL242" s="25"/>
      <c r="AM242" s="25"/>
      <c r="AN242" s="25"/>
      <c r="AO242" s="26"/>
    </row>
    <row r="243" spans="3:41" x14ac:dyDescent="0.25">
      <c r="C243" s="22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  <c r="AA243" s="25"/>
      <c r="AB243" s="25"/>
      <c r="AC243" s="25"/>
      <c r="AD243" s="25"/>
      <c r="AE243" s="25"/>
      <c r="AF243" s="25"/>
      <c r="AG243" s="25"/>
      <c r="AH243" s="25"/>
      <c r="AI243" s="25"/>
      <c r="AJ243" s="25"/>
      <c r="AK243" s="25"/>
      <c r="AL243" s="25"/>
      <c r="AM243" s="25"/>
      <c r="AN243" s="25"/>
      <c r="AO243" s="26"/>
    </row>
    <row r="244" spans="3:41" x14ac:dyDescent="0.25">
      <c r="C244" s="22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  <c r="AA244" s="25"/>
      <c r="AB244" s="25"/>
      <c r="AC244" s="25"/>
      <c r="AD244" s="25"/>
      <c r="AE244" s="25"/>
      <c r="AF244" s="25"/>
      <c r="AG244" s="25"/>
      <c r="AH244" s="25"/>
      <c r="AI244" s="25"/>
      <c r="AJ244" s="25"/>
      <c r="AK244" s="25"/>
      <c r="AL244" s="25"/>
      <c r="AM244" s="25"/>
      <c r="AN244" s="25"/>
      <c r="AO244" s="26"/>
    </row>
    <row r="245" spans="3:41" x14ac:dyDescent="0.25">
      <c r="C245" s="22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  <c r="AA245" s="25"/>
      <c r="AB245" s="25"/>
      <c r="AC245" s="25"/>
      <c r="AD245" s="25"/>
      <c r="AE245" s="25"/>
      <c r="AF245" s="25"/>
      <c r="AG245" s="25"/>
      <c r="AH245" s="25"/>
      <c r="AI245" s="25"/>
      <c r="AJ245" s="25"/>
      <c r="AK245" s="25"/>
      <c r="AL245" s="25"/>
      <c r="AM245" s="25"/>
      <c r="AN245" s="25"/>
      <c r="AO245" s="26"/>
    </row>
    <row r="246" spans="3:41" x14ac:dyDescent="0.25">
      <c r="C246" s="22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  <c r="AA246" s="25"/>
      <c r="AB246" s="25"/>
      <c r="AC246" s="25"/>
      <c r="AD246" s="25"/>
      <c r="AE246" s="25"/>
      <c r="AF246" s="25"/>
      <c r="AG246" s="25"/>
      <c r="AH246" s="25"/>
      <c r="AI246" s="25"/>
      <c r="AJ246" s="25"/>
      <c r="AK246" s="25"/>
      <c r="AL246" s="25"/>
      <c r="AM246" s="25"/>
      <c r="AN246" s="25"/>
      <c r="AO246" s="26"/>
    </row>
    <row r="247" spans="3:41" x14ac:dyDescent="0.25">
      <c r="C247" s="22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  <c r="AA247" s="25"/>
      <c r="AB247" s="25"/>
      <c r="AC247" s="25"/>
      <c r="AD247" s="25"/>
      <c r="AE247" s="25"/>
      <c r="AF247" s="25"/>
      <c r="AG247" s="25"/>
      <c r="AH247" s="25"/>
      <c r="AI247" s="25"/>
      <c r="AJ247" s="25"/>
      <c r="AK247" s="25"/>
      <c r="AL247" s="25"/>
      <c r="AM247" s="25"/>
      <c r="AN247" s="25"/>
      <c r="AO247" s="26"/>
    </row>
    <row r="248" spans="3:41" x14ac:dyDescent="0.25">
      <c r="C248" s="22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  <c r="AA248" s="25"/>
      <c r="AB248" s="25"/>
      <c r="AC248" s="25"/>
      <c r="AD248" s="25"/>
      <c r="AE248" s="25"/>
      <c r="AF248" s="25"/>
      <c r="AG248" s="25"/>
      <c r="AH248" s="25"/>
      <c r="AI248" s="25"/>
      <c r="AJ248" s="25"/>
      <c r="AK248" s="25"/>
      <c r="AL248" s="25"/>
      <c r="AM248" s="25"/>
      <c r="AN248" s="25"/>
      <c r="AO248" s="26"/>
    </row>
    <row r="249" spans="3:41" x14ac:dyDescent="0.25">
      <c r="C249" s="22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  <c r="AA249" s="25"/>
      <c r="AB249" s="25"/>
      <c r="AC249" s="25"/>
      <c r="AD249" s="25"/>
      <c r="AE249" s="25"/>
      <c r="AF249" s="25"/>
      <c r="AG249" s="25"/>
      <c r="AH249" s="25"/>
      <c r="AI249" s="25"/>
      <c r="AJ249" s="25"/>
      <c r="AK249" s="25"/>
      <c r="AL249" s="25"/>
      <c r="AM249" s="25"/>
      <c r="AN249" s="25"/>
      <c r="AO249" s="26"/>
    </row>
    <row r="250" spans="3:41" x14ac:dyDescent="0.25">
      <c r="C250" s="22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  <c r="AA250" s="25"/>
      <c r="AB250" s="25"/>
      <c r="AC250" s="25"/>
      <c r="AD250" s="25"/>
      <c r="AE250" s="25"/>
      <c r="AF250" s="25"/>
      <c r="AG250" s="25"/>
      <c r="AH250" s="25"/>
      <c r="AI250" s="25"/>
      <c r="AJ250" s="25"/>
      <c r="AK250" s="25"/>
      <c r="AL250" s="25"/>
      <c r="AM250" s="25"/>
      <c r="AN250" s="25"/>
      <c r="AO250" s="26"/>
    </row>
    <row r="251" spans="3:41" x14ac:dyDescent="0.25">
      <c r="C251" s="22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  <c r="AA251" s="25"/>
      <c r="AB251" s="25"/>
      <c r="AC251" s="25"/>
      <c r="AD251" s="25"/>
      <c r="AE251" s="25"/>
      <c r="AF251" s="25"/>
      <c r="AG251" s="25"/>
      <c r="AH251" s="25"/>
      <c r="AI251" s="25"/>
      <c r="AJ251" s="25"/>
      <c r="AK251" s="25"/>
      <c r="AL251" s="25"/>
      <c r="AM251" s="25"/>
      <c r="AN251" s="25"/>
      <c r="AO251" s="26"/>
    </row>
    <row r="252" spans="3:41" x14ac:dyDescent="0.25">
      <c r="C252" s="22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  <c r="AA252" s="25"/>
      <c r="AB252" s="25"/>
      <c r="AC252" s="25"/>
      <c r="AD252" s="25"/>
      <c r="AE252" s="25"/>
      <c r="AF252" s="25"/>
      <c r="AG252" s="25"/>
      <c r="AH252" s="25"/>
      <c r="AI252" s="25"/>
      <c r="AJ252" s="25"/>
      <c r="AK252" s="25"/>
      <c r="AL252" s="25"/>
      <c r="AM252" s="25"/>
      <c r="AN252" s="25"/>
      <c r="AO252" s="26"/>
    </row>
    <row r="253" spans="3:41" x14ac:dyDescent="0.25">
      <c r="C253" s="22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  <c r="AA253" s="25"/>
      <c r="AB253" s="25"/>
      <c r="AC253" s="25"/>
      <c r="AD253" s="25"/>
      <c r="AE253" s="25"/>
      <c r="AF253" s="25"/>
      <c r="AG253" s="25"/>
      <c r="AH253" s="25"/>
      <c r="AI253" s="25"/>
      <c r="AJ253" s="25"/>
      <c r="AK253" s="25"/>
      <c r="AL253" s="25"/>
      <c r="AM253" s="25"/>
      <c r="AN253" s="25"/>
      <c r="AO253" s="26"/>
    </row>
    <row r="254" spans="3:41" x14ac:dyDescent="0.25">
      <c r="C254" s="22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  <c r="AA254" s="25"/>
      <c r="AB254" s="25"/>
      <c r="AC254" s="25"/>
      <c r="AD254" s="25"/>
      <c r="AE254" s="25"/>
      <c r="AF254" s="25"/>
      <c r="AG254" s="25"/>
      <c r="AH254" s="25"/>
      <c r="AI254" s="25"/>
      <c r="AJ254" s="25"/>
      <c r="AK254" s="25"/>
      <c r="AL254" s="25"/>
      <c r="AM254" s="25"/>
      <c r="AN254" s="25"/>
      <c r="AO254" s="26"/>
    </row>
    <row r="255" spans="3:41" x14ac:dyDescent="0.25">
      <c r="C255" s="22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  <c r="AA255" s="25"/>
      <c r="AB255" s="25"/>
      <c r="AC255" s="25"/>
      <c r="AD255" s="25"/>
      <c r="AE255" s="25"/>
      <c r="AF255" s="25"/>
      <c r="AG255" s="25"/>
      <c r="AH255" s="25"/>
      <c r="AI255" s="25"/>
      <c r="AJ255" s="25"/>
      <c r="AK255" s="25"/>
      <c r="AL255" s="25"/>
      <c r="AM255" s="25"/>
      <c r="AN255" s="25"/>
      <c r="AO255" s="26"/>
    </row>
    <row r="256" spans="3:41" x14ac:dyDescent="0.25">
      <c r="C256" s="22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  <c r="AA256" s="25"/>
      <c r="AB256" s="25"/>
      <c r="AC256" s="25"/>
      <c r="AD256" s="25"/>
      <c r="AE256" s="25"/>
      <c r="AF256" s="25"/>
      <c r="AG256" s="25"/>
      <c r="AH256" s="25"/>
      <c r="AI256" s="25"/>
      <c r="AJ256" s="25"/>
      <c r="AK256" s="25"/>
      <c r="AL256" s="25"/>
      <c r="AM256" s="25"/>
      <c r="AN256" s="25"/>
      <c r="AO256" s="26"/>
    </row>
    <row r="257" spans="3:41" x14ac:dyDescent="0.25">
      <c r="C257" s="22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  <c r="AA257" s="25"/>
      <c r="AB257" s="25"/>
      <c r="AC257" s="25"/>
      <c r="AD257" s="25"/>
      <c r="AE257" s="25"/>
      <c r="AF257" s="25"/>
      <c r="AG257" s="25"/>
      <c r="AH257" s="25"/>
      <c r="AI257" s="25"/>
      <c r="AJ257" s="25"/>
      <c r="AK257" s="25"/>
      <c r="AL257" s="25"/>
      <c r="AM257" s="25"/>
      <c r="AN257" s="25"/>
      <c r="AO257" s="26"/>
    </row>
    <row r="258" spans="3:41" x14ac:dyDescent="0.25">
      <c r="C258" s="22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  <c r="AA258" s="25"/>
      <c r="AB258" s="25"/>
      <c r="AC258" s="25"/>
      <c r="AD258" s="25"/>
      <c r="AE258" s="25"/>
      <c r="AF258" s="25"/>
      <c r="AG258" s="25"/>
      <c r="AH258" s="25"/>
      <c r="AI258" s="25"/>
      <c r="AJ258" s="25"/>
      <c r="AK258" s="25"/>
      <c r="AL258" s="25"/>
      <c r="AM258" s="25"/>
      <c r="AN258" s="25"/>
      <c r="AO258" s="26"/>
    </row>
    <row r="259" spans="3:41" x14ac:dyDescent="0.25">
      <c r="C259" s="22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  <c r="AA259" s="25"/>
      <c r="AB259" s="25"/>
      <c r="AC259" s="25"/>
      <c r="AD259" s="25"/>
      <c r="AE259" s="25"/>
      <c r="AF259" s="25"/>
      <c r="AG259" s="25"/>
      <c r="AH259" s="25"/>
      <c r="AI259" s="25"/>
      <c r="AJ259" s="25"/>
      <c r="AK259" s="25"/>
      <c r="AL259" s="25"/>
      <c r="AM259" s="25"/>
      <c r="AN259" s="25"/>
      <c r="AO259" s="26"/>
    </row>
    <row r="260" spans="3:41" x14ac:dyDescent="0.25">
      <c r="C260" s="22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  <c r="AA260" s="25"/>
      <c r="AB260" s="25"/>
      <c r="AC260" s="25"/>
      <c r="AD260" s="25"/>
      <c r="AE260" s="25"/>
      <c r="AF260" s="25"/>
      <c r="AG260" s="25"/>
      <c r="AH260" s="25"/>
      <c r="AI260" s="25"/>
      <c r="AJ260" s="25"/>
      <c r="AK260" s="25"/>
      <c r="AL260" s="25"/>
      <c r="AM260" s="25"/>
      <c r="AN260" s="25"/>
      <c r="AO260" s="26"/>
    </row>
    <row r="261" spans="3:41" x14ac:dyDescent="0.25">
      <c r="C261" s="22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  <c r="AA261" s="25"/>
      <c r="AB261" s="25"/>
      <c r="AC261" s="25"/>
      <c r="AD261" s="25"/>
      <c r="AE261" s="25"/>
      <c r="AF261" s="25"/>
      <c r="AG261" s="25"/>
      <c r="AH261" s="25"/>
      <c r="AI261" s="25"/>
      <c r="AJ261" s="25"/>
      <c r="AK261" s="25"/>
      <c r="AL261" s="25"/>
      <c r="AM261" s="25"/>
      <c r="AN261" s="25"/>
      <c r="AO261" s="26"/>
    </row>
    <row r="262" spans="3:41" x14ac:dyDescent="0.25">
      <c r="C262" s="22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  <c r="AA262" s="25"/>
      <c r="AB262" s="25"/>
      <c r="AC262" s="25"/>
      <c r="AD262" s="25"/>
      <c r="AE262" s="25"/>
      <c r="AF262" s="25"/>
      <c r="AG262" s="25"/>
      <c r="AH262" s="25"/>
      <c r="AI262" s="25"/>
      <c r="AJ262" s="25"/>
      <c r="AK262" s="25"/>
      <c r="AL262" s="25"/>
      <c r="AM262" s="25"/>
      <c r="AN262" s="25"/>
      <c r="AO262" s="26"/>
    </row>
    <row r="263" spans="3:41" x14ac:dyDescent="0.25">
      <c r="C263" s="22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  <c r="AA263" s="25"/>
      <c r="AB263" s="25"/>
      <c r="AC263" s="25"/>
      <c r="AD263" s="25"/>
      <c r="AE263" s="25"/>
      <c r="AF263" s="25"/>
      <c r="AG263" s="25"/>
      <c r="AH263" s="25"/>
      <c r="AI263" s="25"/>
      <c r="AJ263" s="25"/>
      <c r="AK263" s="25"/>
      <c r="AL263" s="25"/>
      <c r="AM263" s="25"/>
      <c r="AN263" s="25"/>
      <c r="AO263" s="26"/>
    </row>
    <row r="264" spans="3:41" x14ac:dyDescent="0.25">
      <c r="C264" s="22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  <c r="AC264" s="25"/>
      <c r="AD264" s="25"/>
      <c r="AE264" s="25"/>
      <c r="AF264" s="25"/>
      <c r="AG264" s="25"/>
      <c r="AH264" s="25"/>
      <c r="AI264" s="25"/>
      <c r="AJ264" s="25"/>
      <c r="AK264" s="25"/>
      <c r="AL264" s="25"/>
      <c r="AM264" s="25"/>
      <c r="AN264" s="25"/>
      <c r="AO264" s="26"/>
    </row>
    <row r="265" spans="3:41" x14ac:dyDescent="0.25">
      <c r="C265" s="22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  <c r="AA265" s="25"/>
      <c r="AB265" s="25"/>
      <c r="AC265" s="25"/>
      <c r="AD265" s="25"/>
      <c r="AE265" s="25"/>
      <c r="AF265" s="25"/>
      <c r="AG265" s="25"/>
      <c r="AH265" s="25"/>
      <c r="AI265" s="25"/>
      <c r="AJ265" s="25"/>
      <c r="AK265" s="25"/>
      <c r="AL265" s="25"/>
      <c r="AM265" s="25"/>
      <c r="AN265" s="25"/>
      <c r="AO265" s="26"/>
    </row>
    <row r="266" spans="3:41" x14ac:dyDescent="0.25">
      <c r="C266" s="22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  <c r="AA266" s="25"/>
      <c r="AB266" s="25"/>
      <c r="AC266" s="25"/>
      <c r="AD266" s="25"/>
      <c r="AE266" s="25"/>
      <c r="AF266" s="25"/>
      <c r="AG266" s="25"/>
      <c r="AH266" s="25"/>
      <c r="AI266" s="25"/>
      <c r="AJ266" s="25"/>
      <c r="AK266" s="25"/>
      <c r="AL266" s="25"/>
      <c r="AM266" s="25"/>
      <c r="AN266" s="25"/>
      <c r="AO266" s="26"/>
    </row>
    <row r="267" spans="3:41" x14ac:dyDescent="0.25">
      <c r="C267" s="22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  <c r="AA267" s="25"/>
      <c r="AB267" s="25"/>
      <c r="AC267" s="25"/>
      <c r="AD267" s="25"/>
      <c r="AE267" s="25"/>
      <c r="AF267" s="25"/>
      <c r="AG267" s="25"/>
      <c r="AH267" s="25"/>
      <c r="AI267" s="25"/>
      <c r="AJ267" s="25"/>
      <c r="AK267" s="25"/>
      <c r="AL267" s="25"/>
      <c r="AM267" s="25"/>
      <c r="AN267" s="25"/>
      <c r="AO267" s="26"/>
    </row>
    <row r="268" spans="3:41" x14ac:dyDescent="0.25">
      <c r="C268" s="22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  <c r="AA268" s="25"/>
      <c r="AB268" s="25"/>
      <c r="AC268" s="25"/>
      <c r="AD268" s="25"/>
      <c r="AE268" s="25"/>
      <c r="AF268" s="25"/>
      <c r="AG268" s="25"/>
      <c r="AH268" s="25"/>
      <c r="AI268" s="25"/>
      <c r="AJ268" s="25"/>
      <c r="AK268" s="25"/>
      <c r="AL268" s="25"/>
      <c r="AM268" s="25"/>
      <c r="AN268" s="25"/>
      <c r="AO268" s="26"/>
    </row>
    <row r="269" spans="3:41" x14ac:dyDescent="0.25">
      <c r="C269" s="22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  <c r="AA269" s="25"/>
      <c r="AB269" s="25"/>
      <c r="AC269" s="25"/>
      <c r="AD269" s="25"/>
      <c r="AE269" s="25"/>
      <c r="AF269" s="25"/>
      <c r="AG269" s="25"/>
      <c r="AH269" s="25"/>
      <c r="AI269" s="25"/>
      <c r="AJ269" s="25"/>
      <c r="AK269" s="25"/>
      <c r="AL269" s="25"/>
      <c r="AM269" s="25"/>
      <c r="AN269" s="25"/>
      <c r="AO269" s="26"/>
    </row>
    <row r="270" spans="3:41" x14ac:dyDescent="0.25">
      <c r="C270" s="22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  <c r="AA270" s="25"/>
      <c r="AB270" s="25"/>
      <c r="AC270" s="25"/>
      <c r="AD270" s="25"/>
      <c r="AE270" s="25"/>
      <c r="AF270" s="25"/>
      <c r="AG270" s="25"/>
      <c r="AH270" s="25"/>
      <c r="AI270" s="25"/>
      <c r="AJ270" s="25"/>
      <c r="AK270" s="25"/>
      <c r="AL270" s="25"/>
      <c r="AM270" s="25"/>
      <c r="AN270" s="25"/>
      <c r="AO270" s="26"/>
    </row>
    <row r="271" spans="3:41" x14ac:dyDescent="0.25">
      <c r="C271" s="22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  <c r="AA271" s="25"/>
      <c r="AB271" s="25"/>
      <c r="AC271" s="25"/>
      <c r="AD271" s="25"/>
      <c r="AE271" s="25"/>
      <c r="AF271" s="25"/>
      <c r="AG271" s="25"/>
      <c r="AH271" s="25"/>
      <c r="AI271" s="25"/>
      <c r="AJ271" s="25"/>
      <c r="AK271" s="25"/>
      <c r="AL271" s="25"/>
      <c r="AM271" s="25"/>
      <c r="AN271" s="25"/>
      <c r="AO271" s="26"/>
    </row>
    <row r="272" spans="3:41" x14ac:dyDescent="0.25">
      <c r="C272" s="22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  <c r="AA272" s="25"/>
      <c r="AB272" s="25"/>
      <c r="AC272" s="25"/>
      <c r="AD272" s="25"/>
      <c r="AE272" s="25"/>
      <c r="AF272" s="25"/>
      <c r="AG272" s="25"/>
      <c r="AH272" s="25"/>
      <c r="AI272" s="25"/>
      <c r="AJ272" s="25"/>
      <c r="AK272" s="25"/>
      <c r="AL272" s="25"/>
      <c r="AM272" s="25"/>
      <c r="AN272" s="25"/>
      <c r="AO272" s="26"/>
    </row>
    <row r="273" spans="3:41" x14ac:dyDescent="0.25">
      <c r="C273" s="22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  <c r="AA273" s="25"/>
      <c r="AB273" s="25"/>
      <c r="AC273" s="25"/>
      <c r="AD273" s="25"/>
      <c r="AE273" s="25"/>
      <c r="AF273" s="25"/>
      <c r="AG273" s="25"/>
      <c r="AH273" s="25"/>
      <c r="AI273" s="25"/>
      <c r="AJ273" s="25"/>
      <c r="AK273" s="25"/>
      <c r="AL273" s="25"/>
      <c r="AM273" s="25"/>
      <c r="AN273" s="25"/>
      <c r="AO273" s="26"/>
    </row>
    <row r="274" spans="3:41" x14ac:dyDescent="0.25">
      <c r="C274" s="22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  <c r="AA274" s="25"/>
      <c r="AB274" s="25"/>
      <c r="AC274" s="25"/>
      <c r="AD274" s="25"/>
      <c r="AE274" s="25"/>
      <c r="AF274" s="25"/>
      <c r="AG274" s="25"/>
      <c r="AH274" s="25"/>
      <c r="AI274" s="25"/>
      <c r="AJ274" s="25"/>
      <c r="AK274" s="25"/>
      <c r="AL274" s="25"/>
      <c r="AM274" s="25"/>
      <c r="AN274" s="25"/>
      <c r="AO274" s="26"/>
    </row>
    <row r="275" spans="3:41" x14ac:dyDescent="0.25">
      <c r="C275" s="22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  <c r="AA275" s="25"/>
      <c r="AB275" s="25"/>
      <c r="AC275" s="25"/>
      <c r="AD275" s="25"/>
      <c r="AE275" s="25"/>
      <c r="AF275" s="25"/>
      <c r="AG275" s="25"/>
      <c r="AH275" s="25"/>
      <c r="AI275" s="25"/>
      <c r="AJ275" s="25"/>
      <c r="AK275" s="25"/>
      <c r="AL275" s="25"/>
      <c r="AM275" s="25"/>
      <c r="AN275" s="25"/>
      <c r="AO275" s="26"/>
    </row>
    <row r="276" spans="3:41" x14ac:dyDescent="0.25">
      <c r="C276" s="22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  <c r="AA276" s="25"/>
      <c r="AB276" s="25"/>
      <c r="AC276" s="25"/>
      <c r="AD276" s="25"/>
      <c r="AE276" s="25"/>
      <c r="AF276" s="25"/>
      <c r="AG276" s="25"/>
      <c r="AH276" s="25"/>
      <c r="AI276" s="25"/>
      <c r="AJ276" s="25"/>
      <c r="AK276" s="25"/>
      <c r="AL276" s="25"/>
      <c r="AM276" s="25"/>
      <c r="AN276" s="25"/>
      <c r="AO276" s="26"/>
    </row>
    <row r="277" spans="3:41" x14ac:dyDescent="0.25">
      <c r="C277" s="22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  <c r="AA277" s="25"/>
      <c r="AB277" s="25"/>
      <c r="AC277" s="25"/>
      <c r="AD277" s="25"/>
      <c r="AE277" s="25"/>
      <c r="AF277" s="25"/>
      <c r="AG277" s="25"/>
      <c r="AH277" s="25"/>
      <c r="AI277" s="25"/>
      <c r="AJ277" s="25"/>
      <c r="AK277" s="25"/>
      <c r="AL277" s="25"/>
      <c r="AM277" s="25"/>
      <c r="AN277" s="25"/>
      <c r="AO277" s="26"/>
    </row>
    <row r="278" spans="3:41" x14ac:dyDescent="0.25">
      <c r="C278" s="22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  <c r="AA278" s="25"/>
      <c r="AB278" s="25"/>
      <c r="AC278" s="25"/>
      <c r="AD278" s="25"/>
      <c r="AE278" s="25"/>
      <c r="AF278" s="25"/>
      <c r="AG278" s="25"/>
      <c r="AH278" s="25"/>
      <c r="AI278" s="25"/>
      <c r="AJ278" s="25"/>
      <c r="AK278" s="25"/>
      <c r="AL278" s="25"/>
      <c r="AM278" s="25"/>
      <c r="AN278" s="25"/>
      <c r="AO278" s="26"/>
    </row>
    <row r="279" spans="3:41" x14ac:dyDescent="0.25">
      <c r="C279" s="22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  <c r="AA279" s="25"/>
      <c r="AB279" s="25"/>
      <c r="AC279" s="25"/>
      <c r="AD279" s="25"/>
      <c r="AE279" s="25"/>
      <c r="AF279" s="25"/>
      <c r="AG279" s="25"/>
      <c r="AH279" s="25"/>
      <c r="AI279" s="25"/>
      <c r="AJ279" s="25"/>
      <c r="AK279" s="25"/>
      <c r="AL279" s="25"/>
      <c r="AM279" s="25"/>
      <c r="AN279" s="25"/>
      <c r="AO279" s="26"/>
    </row>
    <row r="280" spans="3:41" x14ac:dyDescent="0.25">
      <c r="C280" s="22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  <c r="AA280" s="25"/>
      <c r="AB280" s="25"/>
      <c r="AC280" s="25"/>
      <c r="AD280" s="25"/>
      <c r="AE280" s="25"/>
      <c r="AF280" s="25"/>
      <c r="AG280" s="25"/>
      <c r="AH280" s="25"/>
      <c r="AI280" s="25"/>
      <c r="AJ280" s="25"/>
      <c r="AK280" s="25"/>
      <c r="AL280" s="25"/>
      <c r="AM280" s="25"/>
      <c r="AN280" s="25"/>
      <c r="AO280" s="26"/>
    </row>
    <row r="281" spans="3:41" x14ac:dyDescent="0.25">
      <c r="C281" s="22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  <c r="AA281" s="25"/>
      <c r="AB281" s="25"/>
      <c r="AC281" s="25"/>
      <c r="AD281" s="25"/>
      <c r="AE281" s="25"/>
      <c r="AF281" s="25"/>
      <c r="AG281" s="25"/>
      <c r="AH281" s="25"/>
      <c r="AI281" s="25"/>
      <c r="AJ281" s="25"/>
      <c r="AK281" s="25"/>
      <c r="AL281" s="25"/>
      <c r="AM281" s="25"/>
      <c r="AN281" s="25"/>
      <c r="AO281" s="26"/>
    </row>
    <row r="282" spans="3:41" x14ac:dyDescent="0.25">
      <c r="C282" s="22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  <c r="AA282" s="25"/>
      <c r="AB282" s="25"/>
      <c r="AC282" s="25"/>
      <c r="AD282" s="25"/>
      <c r="AE282" s="25"/>
      <c r="AF282" s="25"/>
      <c r="AG282" s="25"/>
      <c r="AH282" s="25"/>
      <c r="AI282" s="25"/>
      <c r="AJ282" s="25"/>
      <c r="AK282" s="25"/>
      <c r="AL282" s="25"/>
      <c r="AM282" s="25"/>
      <c r="AN282" s="25"/>
      <c r="AO282" s="26"/>
    </row>
    <row r="283" spans="3:41" x14ac:dyDescent="0.25">
      <c r="C283" s="22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  <c r="AA283" s="25"/>
      <c r="AB283" s="25"/>
      <c r="AC283" s="25"/>
      <c r="AD283" s="25"/>
      <c r="AE283" s="25"/>
      <c r="AF283" s="25"/>
      <c r="AG283" s="25"/>
      <c r="AH283" s="25"/>
      <c r="AI283" s="25"/>
      <c r="AJ283" s="25"/>
      <c r="AK283" s="25"/>
      <c r="AL283" s="25"/>
      <c r="AM283" s="25"/>
      <c r="AN283" s="25"/>
      <c r="AO283" s="26"/>
    </row>
    <row r="284" spans="3:41" x14ac:dyDescent="0.25">
      <c r="C284" s="22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  <c r="AA284" s="25"/>
      <c r="AB284" s="25"/>
      <c r="AC284" s="25"/>
      <c r="AD284" s="25"/>
      <c r="AE284" s="25"/>
      <c r="AF284" s="25"/>
      <c r="AG284" s="25"/>
      <c r="AH284" s="25"/>
      <c r="AI284" s="25"/>
      <c r="AJ284" s="25"/>
      <c r="AK284" s="25"/>
      <c r="AL284" s="25"/>
      <c r="AM284" s="25"/>
      <c r="AN284" s="25"/>
      <c r="AO284" s="26"/>
    </row>
    <row r="285" spans="3:41" x14ac:dyDescent="0.25">
      <c r="C285" s="22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  <c r="AA285" s="25"/>
      <c r="AB285" s="25"/>
      <c r="AC285" s="25"/>
      <c r="AD285" s="25"/>
      <c r="AE285" s="25"/>
      <c r="AF285" s="25"/>
      <c r="AG285" s="25"/>
      <c r="AH285" s="25"/>
      <c r="AI285" s="25"/>
      <c r="AJ285" s="25"/>
      <c r="AK285" s="25"/>
      <c r="AL285" s="25"/>
      <c r="AM285" s="25"/>
      <c r="AN285" s="25"/>
      <c r="AO285" s="26"/>
    </row>
    <row r="286" spans="3:41" x14ac:dyDescent="0.25">
      <c r="C286" s="22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  <c r="AA286" s="25"/>
      <c r="AB286" s="25"/>
      <c r="AC286" s="25"/>
      <c r="AD286" s="25"/>
      <c r="AE286" s="25"/>
      <c r="AF286" s="25"/>
      <c r="AG286" s="25"/>
      <c r="AH286" s="25"/>
      <c r="AI286" s="25"/>
      <c r="AJ286" s="25"/>
      <c r="AK286" s="25"/>
      <c r="AL286" s="25"/>
      <c r="AM286" s="25"/>
      <c r="AN286" s="25"/>
      <c r="AO286" s="26"/>
    </row>
    <row r="287" spans="3:41" x14ac:dyDescent="0.25">
      <c r="C287" s="22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  <c r="AA287" s="25"/>
      <c r="AB287" s="25"/>
      <c r="AC287" s="25"/>
      <c r="AD287" s="25"/>
      <c r="AE287" s="25"/>
      <c r="AF287" s="25"/>
      <c r="AG287" s="25"/>
      <c r="AH287" s="25"/>
      <c r="AI287" s="25"/>
      <c r="AJ287" s="25"/>
      <c r="AK287" s="25"/>
      <c r="AL287" s="25"/>
      <c r="AM287" s="25"/>
      <c r="AN287" s="25"/>
      <c r="AO287" s="26"/>
    </row>
    <row r="288" spans="3:41" x14ac:dyDescent="0.25">
      <c r="C288" s="22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  <c r="AA288" s="25"/>
      <c r="AB288" s="25"/>
      <c r="AC288" s="25"/>
      <c r="AD288" s="25"/>
      <c r="AE288" s="25"/>
      <c r="AF288" s="25"/>
      <c r="AG288" s="25"/>
      <c r="AH288" s="25"/>
      <c r="AI288" s="25"/>
      <c r="AJ288" s="25"/>
      <c r="AK288" s="25"/>
      <c r="AL288" s="25"/>
      <c r="AM288" s="25"/>
      <c r="AN288" s="25"/>
      <c r="AO288" s="26"/>
    </row>
    <row r="289" spans="3:41" x14ac:dyDescent="0.25">
      <c r="C289" s="22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  <c r="AA289" s="25"/>
      <c r="AB289" s="25"/>
      <c r="AC289" s="25"/>
      <c r="AD289" s="25"/>
      <c r="AE289" s="25"/>
      <c r="AF289" s="25"/>
      <c r="AG289" s="25"/>
      <c r="AH289" s="25"/>
      <c r="AI289" s="25"/>
      <c r="AJ289" s="25"/>
      <c r="AK289" s="25"/>
      <c r="AL289" s="25"/>
      <c r="AM289" s="25"/>
      <c r="AN289" s="25"/>
      <c r="AO289" s="26"/>
    </row>
    <row r="290" spans="3:41" x14ac:dyDescent="0.25">
      <c r="C290" s="22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25"/>
      <c r="AK290" s="25"/>
      <c r="AL290" s="25"/>
      <c r="AM290" s="25"/>
      <c r="AN290" s="25"/>
      <c r="AO290" s="26"/>
    </row>
    <row r="291" spans="3:41" x14ac:dyDescent="0.25">
      <c r="C291" s="22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  <c r="AA291" s="25"/>
      <c r="AB291" s="25"/>
      <c r="AC291" s="25"/>
      <c r="AD291" s="25"/>
      <c r="AE291" s="25"/>
      <c r="AF291" s="25"/>
      <c r="AG291" s="25"/>
      <c r="AH291" s="25"/>
      <c r="AI291" s="25"/>
      <c r="AJ291" s="25"/>
      <c r="AK291" s="25"/>
      <c r="AL291" s="25"/>
      <c r="AM291" s="25"/>
      <c r="AN291" s="25"/>
      <c r="AO291" s="26"/>
    </row>
    <row r="292" spans="3:41" x14ac:dyDescent="0.25">
      <c r="C292" s="22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  <c r="AA292" s="25"/>
      <c r="AB292" s="25"/>
      <c r="AC292" s="25"/>
      <c r="AD292" s="25"/>
      <c r="AE292" s="25"/>
      <c r="AF292" s="25"/>
      <c r="AG292" s="25"/>
      <c r="AH292" s="25"/>
      <c r="AI292" s="25"/>
      <c r="AJ292" s="25"/>
      <c r="AK292" s="25"/>
      <c r="AL292" s="25"/>
      <c r="AM292" s="25"/>
      <c r="AN292" s="25"/>
      <c r="AO292" s="26"/>
    </row>
    <row r="293" spans="3:41" x14ac:dyDescent="0.25">
      <c r="C293" s="22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  <c r="AA293" s="25"/>
      <c r="AB293" s="25"/>
      <c r="AC293" s="25"/>
      <c r="AD293" s="25"/>
      <c r="AE293" s="25"/>
      <c r="AF293" s="25"/>
      <c r="AG293" s="25"/>
      <c r="AH293" s="25"/>
      <c r="AI293" s="25"/>
      <c r="AJ293" s="25"/>
      <c r="AK293" s="25"/>
      <c r="AL293" s="25"/>
      <c r="AM293" s="25"/>
      <c r="AN293" s="25"/>
      <c r="AO293" s="26"/>
    </row>
    <row r="294" spans="3:41" x14ac:dyDescent="0.25">
      <c r="C294" s="22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  <c r="AA294" s="25"/>
      <c r="AB294" s="25"/>
      <c r="AC294" s="25"/>
      <c r="AD294" s="25"/>
      <c r="AE294" s="25"/>
      <c r="AF294" s="25"/>
      <c r="AG294" s="25"/>
      <c r="AH294" s="25"/>
      <c r="AI294" s="25"/>
      <c r="AJ294" s="25"/>
      <c r="AK294" s="25"/>
      <c r="AL294" s="25"/>
      <c r="AM294" s="25"/>
      <c r="AN294" s="25"/>
      <c r="AO294" s="26"/>
    </row>
    <row r="295" spans="3:41" x14ac:dyDescent="0.25">
      <c r="C295" s="22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  <c r="AA295" s="25"/>
      <c r="AB295" s="25"/>
      <c r="AC295" s="25"/>
      <c r="AD295" s="25"/>
      <c r="AE295" s="25"/>
      <c r="AF295" s="25"/>
      <c r="AG295" s="25"/>
      <c r="AH295" s="25"/>
      <c r="AI295" s="25"/>
      <c r="AJ295" s="25"/>
      <c r="AK295" s="25"/>
      <c r="AL295" s="25"/>
      <c r="AM295" s="25"/>
      <c r="AN295" s="25"/>
      <c r="AO295" s="26"/>
    </row>
    <row r="296" spans="3:41" x14ac:dyDescent="0.25">
      <c r="C296" s="22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  <c r="AA296" s="25"/>
      <c r="AB296" s="25"/>
      <c r="AC296" s="25"/>
      <c r="AD296" s="25"/>
      <c r="AE296" s="25"/>
      <c r="AF296" s="25"/>
      <c r="AG296" s="25"/>
      <c r="AH296" s="25"/>
      <c r="AI296" s="25"/>
      <c r="AJ296" s="25"/>
      <c r="AK296" s="25"/>
      <c r="AL296" s="25"/>
      <c r="AM296" s="25"/>
      <c r="AN296" s="25"/>
      <c r="AO296" s="26"/>
    </row>
    <row r="297" spans="3:41" x14ac:dyDescent="0.25">
      <c r="C297" s="22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  <c r="AA297" s="25"/>
      <c r="AB297" s="25"/>
      <c r="AC297" s="25"/>
      <c r="AD297" s="25"/>
      <c r="AE297" s="25"/>
      <c r="AF297" s="25"/>
      <c r="AG297" s="25"/>
      <c r="AH297" s="25"/>
      <c r="AI297" s="25"/>
      <c r="AJ297" s="25"/>
      <c r="AK297" s="25"/>
      <c r="AL297" s="25"/>
      <c r="AM297" s="25"/>
      <c r="AN297" s="25"/>
      <c r="AO297" s="26"/>
    </row>
    <row r="298" spans="3:41" x14ac:dyDescent="0.25">
      <c r="C298" s="22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  <c r="AA298" s="25"/>
      <c r="AB298" s="25"/>
      <c r="AC298" s="25"/>
      <c r="AD298" s="25"/>
      <c r="AE298" s="25"/>
      <c r="AF298" s="25"/>
      <c r="AG298" s="25"/>
      <c r="AH298" s="25"/>
      <c r="AI298" s="25"/>
      <c r="AJ298" s="25"/>
      <c r="AK298" s="25"/>
      <c r="AL298" s="25"/>
      <c r="AM298" s="25"/>
      <c r="AN298" s="25"/>
      <c r="AO298" s="26"/>
    </row>
    <row r="299" spans="3:41" x14ac:dyDescent="0.25">
      <c r="C299" s="22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  <c r="AA299" s="25"/>
      <c r="AB299" s="25"/>
      <c r="AC299" s="25"/>
      <c r="AD299" s="25"/>
      <c r="AE299" s="25"/>
      <c r="AF299" s="25"/>
      <c r="AG299" s="25"/>
      <c r="AH299" s="25"/>
      <c r="AI299" s="25"/>
      <c r="AJ299" s="25"/>
      <c r="AK299" s="25"/>
      <c r="AL299" s="25"/>
      <c r="AM299" s="25"/>
      <c r="AN299" s="25"/>
      <c r="AO299" s="26"/>
    </row>
    <row r="300" spans="3:41" x14ac:dyDescent="0.25">
      <c r="C300" s="22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  <c r="AA300" s="25"/>
      <c r="AB300" s="25"/>
      <c r="AC300" s="25"/>
      <c r="AD300" s="25"/>
      <c r="AE300" s="25"/>
      <c r="AF300" s="25"/>
      <c r="AG300" s="25"/>
      <c r="AH300" s="25"/>
      <c r="AI300" s="25"/>
      <c r="AJ300" s="25"/>
      <c r="AK300" s="25"/>
      <c r="AL300" s="25"/>
      <c r="AM300" s="25"/>
      <c r="AN300" s="25"/>
      <c r="AO300" s="26"/>
    </row>
    <row r="301" spans="3:41" x14ac:dyDescent="0.25">
      <c r="C301" s="22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  <c r="AA301" s="25"/>
      <c r="AB301" s="25"/>
      <c r="AC301" s="25"/>
      <c r="AD301" s="25"/>
      <c r="AE301" s="25"/>
      <c r="AF301" s="25"/>
      <c r="AG301" s="25"/>
      <c r="AH301" s="25"/>
      <c r="AI301" s="25"/>
      <c r="AJ301" s="25"/>
      <c r="AK301" s="25"/>
      <c r="AL301" s="25"/>
      <c r="AM301" s="25"/>
      <c r="AN301" s="25"/>
      <c r="AO301" s="26"/>
    </row>
    <row r="302" spans="3:41" x14ac:dyDescent="0.25">
      <c r="C302" s="22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  <c r="AA302" s="25"/>
      <c r="AB302" s="25"/>
      <c r="AC302" s="25"/>
      <c r="AD302" s="25"/>
      <c r="AE302" s="25"/>
      <c r="AF302" s="25"/>
      <c r="AG302" s="25"/>
      <c r="AH302" s="25"/>
      <c r="AI302" s="25"/>
      <c r="AJ302" s="25"/>
      <c r="AK302" s="25"/>
      <c r="AL302" s="25"/>
      <c r="AM302" s="25"/>
      <c r="AN302" s="25"/>
      <c r="AO302" s="26"/>
    </row>
    <row r="303" spans="3:41" x14ac:dyDescent="0.25">
      <c r="C303" s="22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  <c r="AA303" s="25"/>
      <c r="AB303" s="25"/>
      <c r="AC303" s="25"/>
      <c r="AD303" s="25"/>
      <c r="AE303" s="25"/>
      <c r="AF303" s="25"/>
      <c r="AG303" s="25"/>
      <c r="AH303" s="25"/>
      <c r="AI303" s="25"/>
      <c r="AJ303" s="25"/>
      <c r="AK303" s="25"/>
      <c r="AL303" s="25"/>
      <c r="AM303" s="25"/>
      <c r="AN303" s="25"/>
      <c r="AO303" s="26"/>
    </row>
    <row r="304" spans="3:41" x14ac:dyDescent="0.25">
      <c r="C304" s="22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  <c r="AA304" s="25"/>
      <c r="AB304" s="25"/>
      <c r="AC304" s="25"/>
      <c r="AD304" s="25"/>
      <c r="AE304" s="25"/>
      <c r="AF304" s="25"/>
      <c r="AG304" s="25"/>
      <c r="AH304" s="25"/>
      <c r="AI304" s="25"/>
      <c r="AJ304" s="25"/>
      <c r="AK304" s="25"/>
      <c r="AL304" s="25"/>
      <c r="AM304" s="25"/>
      <c r="AN304" s="25"/>
      <c r="AO304" s="26"/>
    </row>
    <row r="305" spans="3:41" x14ac:dyDescent="0.25">
      <c r="C305" s="22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  <c r="AA305" s="25"/>
      <c r="AB305" s="25"/>
      <c r="AC305" s="25"/>
      <c r="AD305" s="25"/>
      <c r="AE305" s="25"/>
      <c r="AF305" s="25"/>
      <c r="AG305" s="25"/>
      <c r="AH305" s="25"/>
      <c r="AI305" s="25"/>
      <c r="AJ305" s="25"/>
      <c r="AK305" s="25"/>
      <c r="AL305" s="25"/>
      <c r="AM305" s="25"/>
      <c r="AN305" s="25"/>
      <c r="AO305" s="26"/>
    </row>
    <row r="306" spans="3:41" x14ac:dyDescent="0.25">
      <c r="C306" s="22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  <c r="AA306" s="25"/>
      <c r="AB306" s="25"/>
      <c r="AC306" s="25"/>
      <c r="AD306" s="25"/>
      <c r="AE306" s="25"/>
      <c r="AF306" s="25"/>
      <c r="AG306" s="25"/>
      <c r="AH306" s="25"/>
      <c r="AI306" s="25"/>
      <c r="AJ306" s="25"/>
      <c r="AK306" s="25"/>
      <c r="AL306" s="25"/>
      <c r="AM306" s="25"/>
      <c r="AN306" s="25"/>
      <c r="AO306" s="26"/>
    </row>
    <row r="307" spans="3:41" x14ac:dyDescent="0.25">
      <c r="C307" s="22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  <c r="AA307" s="25"/>
      <c r="AB307" s="25"/>
      <c r="AC307" s="25"/>
      <c r="AD307" s="25"/>
      <c r="AE307" s="25"/>
      <c r="AF307" s="25"/>
      <c r="AG307" s="25"/>
      <c r="AH307" s="25"/>
      <c r="AI307" s="25"/>
      <c r="AJ307" s="25"/>
      <c r="AK307" s="25"/>
      <c r="AL307" s="25"/>
      <c r="AM307" s="25"/>
      <c r="AN307" s="25"/>
      <c r="AO307" s="26"/>
    </row>
    <row r="308" spans="3:41" x14ac:dyDescent="0.25">
      <c r="C308" s="22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  <c r="AA308" s="25"/>
      <c r="AB308" s="25"/>
      <c r="AC308" s="25"/>
      <c r="AD308" s="25"/>
      <c r="AE308" s="25"/>
      <c r="AF308" s="25"/>
      <c r="AG308" s="25"/>
      <c r="AH308" s="25"/>
      <c r="AI308" s="25"/>
      <c r="AJ308" s="25"/>
      <c r="AK308" s="25"/>
      <c r="AL308" s="25"/>
      <c r="AM308" s="25"/>
      <c r="AN308" s="25"/>
      <c r="AO308" s="26"/>
    </row>
    <row r="309" spans="3:41" x14ac:dyDescent="0.25">
      <c r="C309" s="22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  <c r="AA309" s="25"/>
      <c r="AB309" s="25"/>
      <c r="AC309" s="25"/>
      <c r="AD309" s="25"/>
      <c r="AE309" s="25"/>
      <c r="AF309" s="25"/>
      <c r="AG309" s="25"/>
      <c r="AH309" s="25"/>
      <c r="AI309" s="25"/>
      <c r="AJ309" s="25"/>
      <c r="AK309" s="25"/>
      <c r="AL309" s="25"/>
      <c r="AM309" s="25"/>
      <c r="AN309" s="25"/>
      <c r="AO309" s="26"/>
    </row>
    <row r="310" spans="3:41" x14ac:dyDescent="0.25">
      <c r="C310" s="22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  <c r="AA310" s="25"/>
      <c r="AB310" s="25"/>
      <c r="AC310" s="25"/>
      <c r="AD310" s="25"/>
      <c r="AE310" s="25"/>
      <c r="AF310" s="25"/>
      <c r="AG310" s="25"/>
      <c r="AH310" s="25"/>
      <c r="AI310" s="25"/>
      <c r="AJ310" s="25"/>
      <c r="AK310" s="25"/>
      <c r="AL310" s="25"/>
      <c r="AM310" s="25"/>
      <c r="AN310" s="25"/>
      <c r="AO310" s="26"/>
    </row>
    <row r="311" spans="3:41" x14ac:dyDescent="0.25">
      <c r="C311" s="22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  <c r="AA311" s="25"/>
      <c r="AB311" s="25"/>
      <c r="AC311" s="25"/>
      <c r="AD311" s="25"/>
      <c r="AE311" s="25"/>
      <c r="AF311" s="25"/>
      <c r="AG311" s="25"/>
      <c r="AH311" s="25"/>
      <c r="AI311" s="25"/>
      <c r="AJ311" s="25"/>
      <c r="AK311" s="25"/>
      <c r="AL311" s="25"/>
      <c r="AM311" s="25"/>
      <c r="AN311" s="25"/>
      <c r="AO311" s="26"/>
    </row>
    <row r="312" spans="3:41" x14ac:dyDescent="0.25">
      <c r="C312" s="22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  <c r="AA312" s="25"/>
      <c r="AB312" s="25"/>
      <c r="AC312" s="25"/>
      <c r="AD312" s="25"/>
      <c r="AE312" s="25"/>
      <c r="AF312" s="25"/>
      <c r="AG312" s="25"/>
      <c r="AH312" s="25"/>
      <c r="AI312" s="25"/>
      <c r="AJ312" s="25"/>
      <c r="AK312" s="25"/>
      <c r="AL312" s="25"/>
      <c r="AM312" s="25"/>
      <c r="AN312" s="25"/>
      <c r="AO312" s="26"/>
    </row>
    <row r="313" spans="3:41" x14ac:dyDescent="0.25">
      <c r="C313" s="22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  <c r="AA313" s="25"/>
      <c r="AB313" s="25"/>
      <c r="AC313" s="25"/>
      <c r="AD313" s="25"/>
      <c r="AE313" s="25"/>
      <c r="AF313" s="25"/>
      <c r="AG313" s="25"/>
      <c r="AH313" s="25"/>
      <c r="AI313" s="25"/>
      <c r="AJ313" s="25"/>
      <c r="AK313" s="25"/>
      <c r="AL313" s="25"/>
      <c r="AM313" s="25"/>
      <c r="AN313" s="25"/>
      <c r="AO313" s="26"/>
    </row>
    <row r="314" spans="3:41" x14ac:dyDescent="0.25">
      <c r="C314" s="22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  <c r="AA314" s="25"/>
      <c r="AB314" s="25"/>
      <c r="AC314" s="25"/>
      <c r="AD314" s="25"/>
      <c r="AE314" s="25"/>
      <c r="AF314" s="25"/>
      <c r="AG314" s="25"/>
      <c r="AH314" s="25"/>
      <c r="AI314" s="25"/>
      <c r="AJ314" s="25"/>
      <c r="AK314" s="25"/>
      <c r="AL314" s="25"/>
      <c r="AM314" s="25"/>
      <c r="AN314" s="25"/>
      <c r="AO314" s="26"/>
    </row>
    <row r="315" spans="3:41" x14ac:dyDescent="0.25">
      <c r="C315" s="22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  <c r="AA315" s="25"/>
      <c r="AB315" s="25"/>
      <c r="AC315" s="25"/>
      <c r="AD315" s="25"/>
      <c r="AE315" s="25"/>
      <c r="AF315" s="25"/>
      <c r="AG315" s="25"/>
      <c r="AH315" s="25"/>
      <c r="AI315" s="25"/>
      <c r="AJ315" s="25"/>
      <c r="AK315" s="25"/>
      <c r="AL315" s="25"/>
      <c r="AM315" s="25"/>
      <c r="AN315" s="25"/>
      <c r="AO315" s="26"/>
    </row>
    <row r="316" spans="3:41" x14ac:dyDescent="0.25">
      <c r="C316" s="22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25"/>
      <c r="AJ316" s="25"/>
      <c r="AK316" s="25"/>
      <c r="AL316" s="25"/>
      <c r="AM316" s="25"/>
      <c r="AN316" s="25"/>
      <c r="AO316" s="26"/>
    </row>
    <row r="317" spans="3:41" x14ac:dyDescent="0.25">
      <c r="C317" s="22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  <c r="AA317" s="25"/>
      <c r="AB317" s="25"/>
      <c r="AC317" s="25"/>
      <c r="AD317" s="25"/>
      <c r="AE317" s="25"/>
      <c r="AF317" s="25"/>
      <c r="AG317" s="25"/>
      <c r="AH317" s="25"/>
      <c r="AI317" s="25"/>
      <c r="AJ317" s="25"/>
      <c r="AK317" s="25"/>
      <c r="AL317" s="25"/>
      <c r="AM317" s="25"/>
      <c r="AN317" s="25"/>
      <c r="AO317" s="26"/>
    </row>
    <row r="318" spans="3:41" x14ac:dyDescent="0.25">
      <c r="C318" s="22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  <c r="AA318" s="25"/>
      <c r="AB318" s="25"/>
      <c r="AC318" s="25"/>
      <c r="AD318" s="25"/>
      <c r="AE318" s="25"/>
      <c r="AF318" s="25"/>
      <c r="AG318" s="25"/>
      <c r="AH318" s="25"/>
      <c r="AI318" s="25"/>
      <c r="AJ318" s="25"/>
      <c r="AK318" s="25"/>
      <c r="AL318" s="25"/>
      <c r="AM318" s="25"/>
      <c r="AN318" s="25"/>
      <c r="AO318" s="26"/>
    </row>
    <row r="319" spans="3:41" x14ac:dyDescent="0.25">
      <c r="C319" s="22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  <c r="AA319" s="25"/>
      <c r="AB319" s="25"/>
      <c r="AC319" s="25"/>
      <c r="AD319" s="25"/>
      <c r="AE319" s="25"/>
      <c r="AF319" s="25"/>
      <c r="AG319" s="25"/>
      <c r="AH319" s="25"/>
      <c r="AI319" s="25"/>
      <c r="AJ319" s="25"/>
      <c r="AK319" s="25"/>
      <c r="AL319" s="25"/>
      <c r="AM319" s="25"/>
      <c r="AN319" s="25"/>
      <c r="AO319" s="26"/>
    </row>
    <row r="320" spans="3:41" x14ac:dyDescent="0.25">
      <c r="C320" s="22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  <c r="AA320" s="25"/>
      <c r="AB320" s="25"/>
      <c r="AC320" s="25"/>
      <c r="AD320" s="25"/>
      <c r="AE320" s="25"/>
      <c r="AF320" s="25"/>
      <c r="AG320" s="25"/>
      <c r="AH320" s="25"/>
      <c r="AI320" s="25"/>
      <c r="AJ320" s="25"/>
      <c r="AK320" s="25"/>
      <c r="AL320" s="25"/>
      <c r="AM320" s="25"/>
      <c r="AN320" s="25"/>
      <c r="AO320" s="26"/>
    </row>
    <row r="321" spans="3:41" x14ac:dyDescent="0.25">
      <c r="C321" s="22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  <c r="AA321" s="25"/>
      <c r="AB321" s="25"/>
      <c r="AC321" s="25"/>
      <c r="AD321" s="25"/>
      <c r="AE321" s="25"/>
      <c r="AF321" s="25"/>
      <c r="AG321" s="25"/>
      <c r="AH321" s="25"/>
      <c r="AI321" s="25"/>
      <c r="AJ321" s="25"/>
      <c r="AK321" s="25"/>
      <c r="AL321" s="25"/>
      <c r="AM321" s="25"/>
      <c r="AN321" s="25"/>
      <c r="AO321" s="26"/>
    </row>
    <row r="322" spans="3:41" x14ac:dyDescent="0.25">
      <c r="C322" s="22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  <c r="AA322" s="25"/>
      <c r="AB322" s="25"/>
      <c r="AC322" s="25"/>
      <c r="AD322" s="25"/>
      <c r="AE322" s="25"/>
      <c r="AF322" s="25"/>
      <c r="AG322" s="25"/>
      <c r="AH322" s="25"/>
      <c r="AI322" s="25"/>
      <c r="AJ322" s="25"/>
      <c r="AK322" s="25"/>
      <c r="AL322" s="25"/>
      <c r="AM322" s="25"/>
      <c r="AN322" s="25"/>
      <c r="AO322" s="26"/>
    </row>
    <row r="323" spans="3:41" x14ac:dyDescent="0.25">
      <c r="C323" s="22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  <c r="AA323" s="25"/>
      <c r="AB323" s="25"/>
      <c r="AC323" s="25"/>
      <c r="AD323" s="25"/>
      <c r="AE323" s="25"/>
      <c r="AF323" s="25"/>
      <c r="AG323" s="25"/>
      <c r="AH323" s="25"/>
      <c r="AI323" s="25"/>
      <c r="AJ323" s="25"/>
      <c r="AK323" s="25"/>
      <c r="AL323" s="25"/>
      <c r="AM323" s="25"/>
      <c r="AN323" s="25"/>
      <c r="AO323" s="26"/>
    </row>
    <row r="324" spans="3:41" x14ac:dyDescent="0.25">
      <c r="C324" s="22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  <c r="AA324" s="25"/>
      <c r="AB324" s="25"/>
      <c r="AC324" s="25"/>
      <c r="AD324" s="25"/>
      <c r="AE324" s="25"/>
      <c r="AF324" s="25"/>
      <c r="AG324" s="25"/>
      <c r="AH324" s="25"/>
      <c r="AI324" s="25"/>
      <c r="AJ324" s="25"/>
      <c r="AK324" s="25"/>
      <c r="AL324" s="25"/>
      <c r="AM324" s="25"/>
      <c r="AN324" s="25"/>
      <c r="AO324" s="26"/>
    </row>
    <row r="325" spans="3:41" x14ac:dyDescent="0.25">
      <c r="C325" s="22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  <c r="AA325" s="25"/>
      <c r="AB325" s="25"/>
      <c r="AC325" s="25"/>
      <c r="AD325" s="25"/>
      <c r="AE325" s="25"/>
      <c r="AF325" s="25"/>
      <c r="AG325" s="25"/>
      <c r="AH325" s="25"/>
      <c r="AI325" s="25"/>
      <c r="AJ325" s="25"/>
      <c r="AK325" s="25"/>
      <c r="AL325" s="25"/>
      <c r="AM325" s="25"/>
      <c r="AN325" s="25"/>
      <c r="AO325" s="26"/>
    </row>
    <row r="326" spans="3:41" x14ac:dyDescent="0.25">
      <c r="C326" s="22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  <c r="AA326" s="25"/>
      <c r="AB326" s="25"/>
      <c r="AC326" s="25"/>
      <c r="AD326" s="25"/>
      <c r="AE326" s="25"/>
      <c r="AF326" s="25"/>
      <c r="AG326" s="25"/>
      <c r="AH326" s="25"/>
      <c r="AI326" s="25"/>
      <c r="AJ326" s="25"/>
      <c r="AK326" s="25"/>
      <c r="AL326" s="25"/>
      <c r="AM326" s="25"/>
      <c r="AN326" s="25"/>
      <c r="AO326" s="26"/>
    </row>
    <row r="327" spans="3:41" x14ac:dyDescent="0.25">
      <c r="C327" s="22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  <c r="AA327" s="25"/>
      <c r="AB327" s="25"/>
      <c r="AC327" s="25"/>
      <c r="AD327" s="25"/>
      <c r="AE327" s="25"/>
      <c r="AF327" s="25"/>
      <c r="AG327" s="25"/>
      <c r="AH327" s="25"/>
      <c r="AI327" s="25"/>
      <c r="AJ327" s="25"/>
      <c r="AK327" s="25"/>
      <c r="AL327" s="25"/>
      <c r="AM327" s="25"/>
      <c r="AN327" s="25"/>
      <c r="AO327" s="26"/>
    </row>
    <row r="328" spans="3:41" x14ac:dyDescent="0.25">
      <c r="C328" s="22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  <c r="AA328" s="25"/>
      <c r="AB328" s="25"/>
      <c r="AC328" s="25"/>
      <c r="AD328" s="25"/>
      <c r="AE328" s="25"/>
      <c r="AF328" s="25"/>
      <c r="AG328" s="25"/>
      <c r="AH328" s="25"/>
      <c r="AI328" s="25"/>
      <c r="AJ328" s="25"/>
      <c r="AK328" s="25"/>
      <c r="AL328" s="25"/>
      <c r="AM328" s="25"/>
      <c r="AN328" s="25"/>
      <c r="AO328" s="26"/>
    </row>
    <row r="329" spans="3:41" x14ac:dyDescent="0.25">
      <c r="C329" s="22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  <c r="AA329" s="25"/>
      <c r="AB329" s="25"/>
      <c r="AC329" s="25"/>
      <c r="AD329" s="25"/>
      <c r="AE329" s="25"/>
      <c r="AF329" s="25"/>
      <c r="AG329" s="25"/>
      <c r="AH329" s="25"/>
      <c r="AI329" s="25"/>
      <c r="AJ329" s="25"/>
      <c r="AK329" s="25"/>
      <c r="AL329" s="25"/>
      <c r="AM329" s="25"/>
      <c r="AN329" s="25"/>
      <c r="AO329" s="26"/>
    </row>
    <row r="330" spans="3:41" x14ac:dyDescent="0.25">
      <c r="C330" s="22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  <c r="AA330" s="25"/>
      <c r="AB330" s="25"/>
      <c r="AC330" s="25"/>
      <c r="AD330" s="25"/>
      <c r="AE330" s="25"/>
      <c r="AF330" s="25"/>
      <c r="AG330" s="25"/>
      <c r="AH330" s="25"/>
      <c r="AI330" s="25"/>
      <c r="AJ330" s="25"/>
      <c r="AK330" s="25"/>
      <c r="AL330" s="25"/>
      <c r="AM330" s="25"/>
      <c r="AN330" s="25"/>
      <c r="AO330" s="26"/>
    </row>
    <row r="331" spans="3:41" x14ac:dyDescent="0.25">
      <c r="C331" s="22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  <c r="AA331" s="25"/>
      <c r="AB331" s="25"/>
      <c r="AC331" s="25"/>
      <c r="AD331" s="25"/>
      <c r="AE331" s="25"/>
      <c r="AF331" s="25"/>
      <c r="AG331" s="25"/>
      <c r="AH331" s="25"/>
      <c r="AI331" s="25"/>
      <c r="AJ331" s="25"/>
      <c r="AK331" s="25"/>
      <c r="AL331" s="25"/>
      <c r="AM331" s="25"/>
      <c r="AN331" s="25"/>
      <c r="AO331" s="26"/>
    </row>
    <row r="332" spans="3:41" x14ac:dyDescent="0.25">
      <c r="C332" s="22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  <c r="AA332" s="25"/>
      <c r="AB332" s="25"/>
      <c r="AC332" s="25"/>
      <c r="AD332" s="25"/>
      <c r="AE332" s="25"/>
      <c r="AF332" s="25"/>
      <c r="AG332" s="25"/>
      <c r="AH332" s="25"/>
      <c r="AI332" s="25"/>
      <c r="AJ332" s="25"/>
      <c r="AK332" s="25"/>
      <c r="AL332" s="25"/>
      <c r="AM332" s="25"/>
      <c r="AN332" s="25"/>
      <c r="AO332" s="26"/>
    </row>
    <row r="333" spans="3:41" x14ac:dyDescent="0.25">
      <c r="C333" s="22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  <c r="AA333" s="25"/>
      <c r="AB333" s="25"/>
      <c r="AC333" s="25"/>
      <c r="AD333" s="25"/>
      <c r="AE333" s="25"/>
      <c r="AF333" s="25"/>
      <c r="AG333" s="25"/>
      <c r="AH333" s="25"/>
      <c r="AI333" s="25"/>
      <c r="AJ333" s="25"/>
      <c r="AK333" s="25"/>
      <c r="AL333" s="25"/>
      <c r="AM333" s="25"/>
      <c r="AN333" s="25"/>
      <c r="AO333" s="26"/>
    </row>
    <row r="334" spans="3:41" x14ac:dyDescent="0.25">
      <c r="C334" s="22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  <c r="AA334" s="25"/>
      <c r="AB334" s="25"/>
      <c r="AC334" s="25"/>
      <c r="AD334" s="25"/>
      <c r="AE334" s="25"/>
      <c r="AF334" s="25"/>
      <c r="AG334" s="25"/>
      <c r="AH334" s="25"/>
      <c r="AI334" s="25"/>
      <c r="AJ334" s="25"/>
      <c r="AK334" s="25"/>
      <c r="AL334" s="25"/>
      <c r="AM334" s="25"/>
      <c r="AN334" s="25"/>
      <c r="AO334" s="26"/>
    </row>
    <row r="335" spans="3:41" x14ac:dyDescent="0.25">
      <c r="C335" s="22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  <c r="AA335" s="25"/>
      <c r="AB335" s="25"/>
      <c r="AC335" s="25"/>
      <c r="AD335" s="25"/>
      <c r="AE335" s="25"/>
      <c r="AF335" s="25"/>
      <c r="AG335" s="25"/>
      <c r="AH335" s="25"/>
      <c r="AI335" s="25"/>
      <c r="AJ335" s="25"/>
      <c r="AK335" s="25"/>
      <c r="AL335" s="25"/>
      <c r="AM335" s="25"/>
      <c r="AN335" s="25"/>
      <c r="AO335" s="26"/>
    </row>
    <row r="336" spans="3:41" x14ac:dyDescent="0.25">
      <c r="C336" s="22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  <c r="AA336" s="25"/>
      <c r="AB336" s="25"/>
      <c r="AC336" s="25"/>
      <c r="AD336" s="25"/>
      <c r="AE336" s="25"/>
      <c r="AF336" s="25"/>
      <c r="AG336" s="25"/>
      <c r="AH336" s="25"/>
      <c r="AI336" s="25"/>
      <c r="AJ336" s="25"/>
      <c r="AK336" s="25"/>
      <c r="AL336" s="25"/>
      <c r="AM336" s="25"/>
      <c r="AN336" s="25"/>
      <c r="AO336" s="26"/>
    </row>
    <row r="337" spans="3:41" x14ac:dyDescent="0.25">
      <c r="C337" s="22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  <c r="AA337" s="25"/>
      <c r="AB337" s="25"/>
      <c r="AC337" s="25"/>
      <c r="AD337" s="25"/>
      <c r="AE337" s="25"/>
      <c r="AF337" s="25"/>
      <c r="AG337" s="25"/>
      <c r="AH337" s="25"/>
      <c r="AI337" s="25"/>
      <c r="AJ337" s="25"/>
      <c r="AK337" s="25"/>
      <c r="AL337" s="25"/>
      <c r="AM337" s="25"/>
      <c r="AN337" s="25"/>
      <c r="AO337" s="26"/>
    </row>
    <row r="338" spans="3:41" x14ac:dyDescent="0.25">
      <c r="C338" s="22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  <c r="AA338" s="25"/>
      <c r="AB338" s="25"/>
      <c r="AC338" s="25"/>
      <c r="AD338" s="25"/>
      <c r="AE338" s="25"/>
      <c r="AF338" s="25"/>
      <c r="AG338" s="25"/>
      <c r="AH338" s="25"/>
      <c r="AI338" s="25"/>
      <c r="AJ338" s="25"/>
      <c r="AK338" s="25"/>
      <c r="AL338" s="25"/>
      <c r="AM338" s="25"/>
      <c r="AN338" s="25"/>
      <c r="AO338" s="26"/>
    </row>
    <row r="339" spans="3:41" x14ac:dyDescent="0.25">
      <c r="C339" s="22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  <c r="AA339" s="25"/>
      <c r="AB339" s="25"/>
      <c r="AC339" s="25"/>
      <c r="AD339" s="25"/>
      <c r="AE339" s="25"/>
      <c r="AF339" s="25"/>
      <c r="AG339" s="25"/>
      <c r="AH339" s="25"/>
      <c r="AI339" s="25"/>
      <c r="AJ339" s="25"/>
      <c r="AK339" s="25"/>
      <c r="AL339" s="25"/>
      <c r="AM339" s="25"/>
      <c r="AN339" s="25"/>
      <c r="AO339" s="26"/>
    </row>
    <row r="340" spans="3:41" x14ac:dyDescent="0.25">
      <c r="C340" s="22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  <c r="AA340" s="25"/>
      <c r="AB340" s="25"/>
      <c r="AC340" s="25"/>
      <c r="AD340" s="25"/>
      <c r="AE340" s="25"/>
      <c r="AF340" s="25"/>
      <c r="AG340" s="25"/>
      <c r="AH340" s="25"/>
      <c r="AI340" s="25"/>
      <c r="AJ340" s="25"/>
      <c r="AK340" s="25"/>
      <c r="AL340" s="25"/>
      <c r="AM340" s="25"/>
      <c r="AN340" s="25"/>
      <c r="AO340" s="26"/>
    </row>
    <row r="341" spans="3:41" x14ac:dyDescent="0.25">
      <c r="C341" s="22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  <c r="AA341" s="25"/>
      <c r="AB341" s="25"/>
      <c r="AC341" s="25"/>
      <c r="AD341" s="25"/>
      <c r="AE341" s="25"/>
      <c r="AF341" s="25"/>
      <c r="AG341" s="25"/>
      <c r="AH341" s="25"/>
      <c r="AI341" s="25"/>
      <c r="AJ341" s="25"/>
      <c r="AK341" s="25"/>
      <c r="AL341" s="25"/>
      <c r="AM341" s="25"/>
      <c r="AN341" s="25"/>
      <c r="AO341" s="26"/>
    </row>
    <row r="342" spans="3:41" x14ac:dyDescent="0.25">
      <c r="C342" s="22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  <c r="AA342" s="25"/>
      <c r="AB342" s="25"/>
      <c r="AC342" s="25"/>
      <c r="AD342" s="25"/>
      <c r="AE342" s="25"/>
      <c r="AF342" s="25"/>
      <c r="AG342" s="25"/>
      <c r="AH342" s="25"/>
      <c r="AI342" s="25"/>
      <c r="AJ342" s="25"/>
      <c r="AK342" s="25"/>
      <c r="AL342" s="25"/>
      <c r="AM342" s="25"/>
      <c r="AN342" s="25"/>
      <c r="AO342" s="26"/>
    </row>
    <row r="343" spans="3:41" x14ac:dyDescent="0.25">
      <c r="C343" s="22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  <c r="AA343" s="25"/>
      <c r="AB343" s="25"/>
      <c r="AC343" s="25"/>
      <c r="AD343" s="25"/>
      <c r="AE343" s="25"/>
      <c r="AF343" s="25"/>
      <c r="AG343" s="25"/>
      <c r="AH343" s="25"/>
      <c r="AI343" s="25"/>
      <c r="AJ343" s="25"/>
      <c r="AK343" s="25"/>
      <c r="AL343" s="25"/>
      <c r="AM343" s="25"/>
      <c r="AN343" s="25"/>
      <c r="AO343" s="26"/>
    </row>
    <row r="344" spans="3:41" x14ac:dyDescent="0.25">
      <c r="C344" s="22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  <c r="AA344" s="25"/>
      <c r="AB344" s="25"/>
      <c r="AC344" s="25"/>
      <c r="AD344" s="25"/>
      <c r="AE344" s="25"/>
      <c r="AF344" s="25"/>
      <c r="AG344" s="25"/>
      <c r="AH344" s="25"/>
      <c r="AI344" s="25"/>
      <c r="AJ344" s="25"/>
      <c r="AK344" s="25"/>
      <c r="AL344" s="25"/>
      <c r="AM344" s="25"/>
      <c r="AN344" s="25"/>
      <c r="AO344" s="26"/>
    </row>
    <row r="345" spans="3:41" x14ac:dyDescent="0.25">
      <c r="C345" s="22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  <c r="AA345" s="25"/>
      <c r="AB345" s="25"/>
      <c r="AC345" s="25"/>
      <c r="AD345" s="25"/>
      <c r="AE345" s="25"/>
      <c r="AF345" s="25"/>
      <c r="AG345" s="25"/>
      <c r="AH345" s="25"/>
      <c r="AI345" s="25"/>
      <c r="AJ345" s="25"/>
      <c r="AK345" s="25"/>
      <c r="AL345" s="25"/>
      <c r="AM345" s="25"/>
      <c r="AN345" s="25"/>
      <c r="AO345" s="26"/>
    </row>
    <row r="346" spans="3:41" x14ac:dyDescent="0.25">
      <c r="C346" s="22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  <c r="AA346" s="25"/>
      <c r="AB346" s="25"/>
      <c r="AC346" s="25"/>
      <c r="AD346" s="25"/>
      <c r="AE346" s="25"/>
      <c r="AF346" s="25"/>
      <c r="AG346" s="25"/>
      <c r="AH346" s="25"/>
      <c r="AI346" s="25"/>
      <c r="AJ346" s="25"/>
      <c r="AK346" s="25"/>
      <c r="AL346" s="25"/>
      <c r="AM346" s="25"/>
      <c r="AN346" s="25"/>
      <c r="AO346" s="26"/>
    </row>
    <row r="347" spans="3:41" x14ac:dyDescent="0.25">
      <c r="C347" s="22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  <c r="AA347" s="25"/>
      <c r="AB347" s="25"/>
      <c r="AC347" s="25"/>
      <c r="AD347" s="25"/>
      <c r="AE347" s="25"/>
      <c r="AF347" s="25"/>
      <c r="AG347" s="25"/>
      <c r="AH347" s="25"/>
      <c r="AI347" s="25"/>
      <c r="AJ347" s="25"/>
      <c r="AK347" s="25"/>
      <c r="AL347" s="25"/>
      <c r="AM347" s="25"/>
      <c r="AN347" s="25"/>
      <c r="AO347" s="26"/>
    </row>
    <row r="348" spans="3:41" x14ac:dyDescent="0.25">
      <c r="C348" s="22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  <c r="AA348" s="25"/>
      <c r="AB348" s="25"/>
      <c r="AC348" s="25"/>
      <c r="AD348" s="25"/>
      <c r="AE348" s="25"/>
      <c r="AF348" s="25"/>
      <c r="AG348" s="25"/>
      <c r="AH348" s="25"/>
      <c r="AI348" s="25"/>
      <c r="AJ348" s="25"/>
      <c r="AK348" s="25"/>
      <c r="AL348" s="25"/>
      <c r="AM348" s="25"/>
      <c r="AN348" s="25"/>
      <c r="AO348" s="26"/>
    </row>
    <row r="349" spans="3:41" x14ac:dyDescent="0.25">
      <c r="C349" s="22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  <c r="AA349" s="25"/>
      <c r="AB349" s="25"/>
      <c r="AC349" s="25"/>
      <c r="AD349" s="25"/>
      <c r="AE349" s="25"/>
      <c r="AF349" s="25"/>
      <c r="AG349" s="25"/>
      <c r="AH349" s="25"/>
      <c r="AI349" s="25"/>
      <c r="AJ349" s="25"/>
      <c r="AK349" s="25"/>
      <c r="AL349" s="25"/>
      <c r="AM349" s="25"/>
      <c r="AN349" s="25"/>
      <c r="AO349" s="26"/>
    </row>
    <row r="350" spans="3:41" x14ac:dyDescent="0.25">
      <c r="C350" s="22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  <c r="AA350" s="25"/>
      <c r="AB350" s="25"/>
      <c r="AC350" s="25"/>
      <c r="AD350" s="25"/>
      <c r="AE350" s="25"/>
      <c r="AF350" s="25"/>
      <c r="AG350" s="25"/>
      <c r="AH350" s="25"/>
      <c r="AI350" s="25"/>
      <c r="AJ350" s="25"/>
      <c r="AK350" s="25"/>
      <c r="AL350" s="25"/>
      <c r="AM350" s="25"/>
      <c r="AN350" s="25"/>
      <c r="AO350" s="26"/>
    </row>
    <row r="351" spans="3:41" x14ac:dyDescent="0.25">
      <c r="C351" s="22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  <c r="AA351" s="25"/>
      <c r="AB351" s="25"/>
      <c r="AC351" s="25"/>
      <c r="AD351" s="25"/>
      <c r="AE351" s="25"/>
      <c r="AF351" s="25"/>
      <c r="AG351" s="25"/>
      <c r="AH351" s="25"/>
      <c r="AI351" s="25"/>
      <c r="AJ351" s="25"/>
      <c r="AK351" s="25"/>
      <c r="AL351" s="25"/>
      <c r="AM351" s="25"/>
      <c r="AN351" s="25"/>
      <c r="AO351" s="26"/>
    </row>
    <row r="352" spans="3:41" x14ac:dyDescent="0.25">
      <c r="C352" s="22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  <c r="AA352" s="25"/>
      <c r="AB352" s="25"/>
      <c r="AC352" s="25"/>
      <c r="AD352" s="25"/>
      <c r="AE352" s="25"/>
      <c r="AF352" s="25"/>
      <c r="AG352" s="25"/>
      <c r="AH352" s="25"/>
      <c r="AI352" s="25"/>
      <c r="AJ352" s="25"/>
      <c r="AK352" s="25"/>
      <c r="AL352" s="25"/>
      <c r="AM352" s="25"/>
      <c r="AN352" s="25"/>
      <c r="AO352" s="26"/>
    </row>
    <row r="353" spans="3:41" x14ac:dyDescent="0.25">
      <c r="C353" s="22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  <c r="AA353" s="25"/>
      <c r="AB353" s="25"/>
      <c r="AC353" s="25"/>
      <c r="AD353" s="25"/>
      <c r="AE353" s="25"/>
      <c r="AF353" s="25"/>
      <c r="AG353" s="25"/>
      <c r="AH353" s="25"/>
      <c r="AI353" s="25"/>
      <c r="AJ353" s="25"/>
      <c r="AK353" s="25"/>
      <c r="AL353" s="25"/>
      <c r="AM353" s="25"/>
      <c r="AN353" s="25"/>
      <c r="AO353" s="26"/>
    </row>
    <row r="354" spans="3:41" x14ac:dyDescent="0.25">
      <c r="C354" s="22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  <c r="AA354" s="25"/>
      <c r="AB354" s="25"/>
      <c r="AC354" s="25"/>
      <c r="AD354" s="25"/>
      <c r="AE354" s="25"/>
      <c r="AF354" s="25"/>
      <c r="AG354" s="25"/>
      <c r="AH354" s="25"/>
      <c r="AI354" s="25"/>
      <c r="AJ354" s="25"/>
      <c r="AK354" s="25"/>
      <c r="AL354" s="25"/>
      <c r="AM354" s="25"/>
      <c r="AN354" s="25"/>
      <c r="AO354" s="26"/>
    </row>
    <row r="355" spans="3:41" x14ac:dyDescent="0.25">
      <c r="C355" s="22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  <c r="AA355" s="25"/>
      <c r="AB355" s="25"/>
      <c r="AC355" s="25"/>
      <c r="AD355" s="25"/>
      <c r="AE355" s="25"/>
      <c r="AF355" s="25"/>
      <c r="AG355" s="25"/>
      <c r="AH355" s="25"/>
      <c r="AI355" s="25"/>
      <c r="AJ355" s="25"/>
      <c r="AK355" s="25"/>
      <c r="AL355" s="25"/>
      <c r="AM355" s="25"/>
      <c r="AN355" s="25"/>
      <c r="AO355" s="26"/>
    </row>
    <row r="356" spans="3:41" x14ac:dyDescent="0.25">
      <c r="C356" s="22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  <c r="AA356" s="25"/>
      <c r="AB356" s="25"/>
      <c r="AC356" s="25"/>
      <c r="AD356" s="25"/>
      <c r="AE356" s="25"/>
      <c r="AF356" s="25"/>
      <c r="AG356" s="25"/>
      <c r="AH356" s="25"/>
      <c r="AI356" s="25"/>
      <c r="AJ356" s="25"/>
      <c r="AK356" s="25"/>
      <c r="AL356" s="25"/>
      <c r="AM356" s="25"/>
      <c r="AN356" s="25"/>
      <c r="AO356" s="26"/>
    </row>
    <row r="357" spans="3:41" x14ac:dyDescent="0.25">
      <c r="C357" s="22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  <c r="AA357" s="25"/>
      <c r="AB357" s="25"/>
      <c r="AC357" s="25"/>
      <c r="AD357" s="25"/>
      <c r="AE357" s="25"/>
      <c r="AF357" s="25"/>
      <c r="AG357" s="25"/>
      <c r="AH357" s="25"/>
      <c r="AI357" s="25"/>
      <c r="AJ357" s="25"/>
      <c r="AK357" s="25"/>
      <c r="AL357" s="25"/>
      <c r="AM357" s="25"/>
      <c r="AN357" s="25"/>
      <c r="AO357" s="26"/>
    </row>
    <row r="358" spans="3:41" x14ac:dyDescent="0.25">
      <c r="C358" s="22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  <c r="AA358" s="25"/>
      <c r="AB358" s="25"/>
      <c r="AC358" s="25"/>
      <c r="AD358" s="25"/>
      <c r="AE358" s="25"/>
      <c r="AF358" s="25"/>
      <c r="AG358" s="25"/>
      <c r="AH358" s="25"/>
      <c r="AI358" s="25"/>
      <c r="AJ358" s="25"/>
      <c r="AK358" s="25"/>
      <c r="AL358" s="25"/>
      <c r="AM358" s="25"/>
      <c r="AN358" s="25"/>
      <c r="AO358" s="26"/>
    </row>
    <row r="359" spans="3:41" x14ac:dyDescent="0.25">
      <c r="C359" s="22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  <c r="AA359" s="25"/>
      <c r="AB359" s="25"/>
      <c r="AC359" s="25"/>
      <c r="AD359" s="25"/>
      <c r="AE359" s="25"/>
      <c r="AF359" s="25"/>
      <c r="AG359" s="25"/>
      <c r="AH359" s="25"/>
      <c r="AI359" s="25"/>
      <c r="AJ359" s="25"/>
      <c r="AK359" s="25"/>
      <c r="AL359" s="25"/>
      <c r="AM359" s="25"/>
      <c r="AN359" s="25"/>
      <c r="AO359" s="26"/>
    </row>
    <row r="360" spans="3:41" x14ac:dyDescent="0.25">
      <c r="C360" s="22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  <c r="AA360" s="25"/>
      <c r="AB360" s="25"/>
      <c r="AC360" s="25"/>
      <c r="AD360" s="25"/>
      <c r="AE360" s="25"/>
      <c r="AF360" s="25"/>
      <c r="AG360" s="25"/>
      <c r="AH360" s="25"/>
      <c r="AI360" s="25"/>
      <c r="AJ360" s="25"/>
      <c r="AK360" s="25"/>
      <c r="AL360" s="25"/>
      <c r="AM360" s="25"/>
      <c r="AN360" s="25"/>
      <c r="AO360" s="26"/>
    </row>
    <row r="361" spans="3:41" x14ac:dyDescent="0.25">
      <c r="C361" s="22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  <c r="AA361" s="25"/>
      <c r="AB361" s="25"/>
      <c r="AC361" s="25"/>
      <c r="AD361" s="25"/>
      <c r="AE361" s="25"/>
      <c r="AF361" s="25"/>
      <c r="AG361" s="25"/>
      <c r="AH361" s="25"/>
      <c r="AI361" s="25"/>
      <c r="AJ361" s="25"/>
      <c r="AK361" s="25"/>
      <c r="AL361" s="25"/>
      <c r="AM361" s="25"/>
      <c r="AN361" s="25"/>
      <c r="AO361" s="26"/>
    </row>
    <row r="362" spans="3:41" x14ac:dyDescent="0.25">
      <c r="C362" s="22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  <c r="AA362" s="25"/>
      <c r="AB362" s="25"/>
      <c r="AC362" s="25"/>
      <c r="AD362" s="25"/>
      <c r="AE362" s="25"/>
      <c r="AF362" s="25"/>
      <c r="AG362" s="25"/>
      <c r="AH362" s="25"/>
      <c r="AI362" s="25"/>
      <c r="AJ362" s="25"/>
      <c r="AK362" s="25"/>
      <c r="AL362" s="25"/>
      <c r="AM362" s="25"/>
      <c r="AN362" s="25"/>
      <c r="AO362" s="26"/>
    </row>
    <row r="363" spans="3:41" x14ac:dyDescent="0.25">
      <c r="C363" s="22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  <c r="AA363" s="25"/>
      <c r="AB363" s="25"/>
      <c r="AC363" s="25"/>
      <c r="AD363" s="25"/>
      <c r="AE363" s="25"/>
      <c r="AF363" s="25"/>
      <c r="AG363" s="25"/>
      <c r="AH363" s="25"/>
      <c r="AI363" s="25"/>
      <c r="AJ363" s="25"/>
      <c r="AK363" s="25"/>
      <c r="AL363" s="25"/>
      <c r="AM363" s="25"/>
      <c r="AN363" s="25"/>
      <c r="AO363" s="26"/>
    </row>
    <row r="364" spans="3:41" x14ac:dyDescent="0.25">
      <c r="C364" s="22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  <c r="AA364" s="25"/>
      <c r="AB364" s="25"/>
      <c r="AC364" s="25"/>
      <c r="AD364" s="25"/>
      <c r="AE364" s="25"/>
      <c r="AF364" s="25"/>
      <c r="AG364" s="25"/>
      <c r="AH364" s="25"/>
      <c r="AI364" s="25"/>
      <c r="AJ364" s="25"/>
      <c r="AK364" s="25"/>
      <c r="AL364" s="25"/>
      <c r="AM364" s="25"/>
      <c r="AN364" s="25"/>
      <c r="AO364" s="26"/>
    </row>
    <row r="365" spans="3:41" x14ac:dyDescent="0.25">
      <c r="C365" s="22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  <c r="AA365" s="25"/>
      <c r="AB365" s="25"/>
      <c r="AC365" s="25"/>
      <c r="AD365" s="25"/>
      <c r="AE365" s="25"/>
      <c r="AF365" s="25"/>
      <c r="AG365" s="25"/>
      <c r="AH365" s="25"/>
      <c r="AI365" s="25"/>
      <c r="AJ365" s="25"/>
      <c r="AK365" s="25"/>
      <c r="AL365" s="25"/>
      <c r="AM365" s="25"/>
      <c r="AN365" s="25"/>
      <c r="AO365" s="26"/>
    </row>
    <row r="366" spans="3:41" x14ac:dyDescent="0.25">
      <c r="C366" s="22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  <c r="AA366" s="25"/>
      <c r="AB366" s="25"/>
      <c r="AC366" s="25"/>
      <c r="AD366" s="25"/>
      <c r="AE366" s="25"/>
      <c r="AF366" s="25"/>
      <c r="AG366" s="25"/>
      <c r="AH366" s="25"/>
      <c r="AI366" s="25"/>
      <c r="AJ366" s="25"/>
      <c r="AK366" s="25"/>
      <c r="AL366" s="25"/>
      <c r="AM366" s="25"/>
      <c r="AN366" s="25"/>
      <c r="AO366" s="26"/>
    </row>
    <row r="367" spans="3:41" x14ac:dyDescent="0.25">
      <c r="C367" s="22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  <c r="AA367" s="25"/>
      <c r="AB367" s="25"/>
      <c r="AC367" s="25"/>
      <c r="AD367" s="25"/>
      <c r="AE367" s="25"/>
      <c r="AF367" s="25"/>
      <c r="AG367" s="25"/>
      <c r="AH367" s="25"/>
      <c r="AI367" s="25"/>
      <c r="AJ367" s="25"/>
      <c r="AK367" s="25"/>
      <c r="AL367" s="25"/>
      <c r="AM367" s="25"/>
      <c r="AN367" s="25"/>
      <c r="AO367" s="26"/>
    </row>
    <row r="368" spans="3:41" x14ac:dyDescent="0.25">
      <c r="C368" s="22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  <c r="AA368" s="25"/>
      <c r="AB368" s="25"/>
      <c r="AC368" s="25"/>
      <c r="AD368" s="25"/>
      <c r="AE368" s="25"/>
      <c r="AF368" s="25"/>
      <c r="AG368" s="25"/>
      <c r="AH368" s="25"/>
      <c r="AI368" s="25"/>
      <c r="AJ368" s="25"/>
      <c r="AK368" s="25"/>
      <c r="AL368" s="25"/>
      <c r="AM368" s="25"/>
      <c r="AN368" s="25"/>
      <c r="AO368" s="26"/>
    </row>
    <row r="369" spans="3:41" x14ac:dyDescent="0.25">
      <c r="C369" s="22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  <c r="AA369" s="25"/>
      <c r="AB369" s="25"/>
      <c r="AC369" s="25"/>
      <c r="AD369" s="25"/>
      <c r="AE369" s="25"/>
      <c r="AF369" s="25"/>
      <c r="AG369" s="25"/>
      <c r="AH369" s="25"/>
      <c r="AI369" s="25"/>
      <c r="AJ369" s="25"/>
      <c r="AK369" s="25"/>
      <c r="AL369" s="25"/>
      <c r="AM369" s="25"/>
      <c r="AN369" s="25"/>
      <c r="AO369" s="26"/>
    </row>
    <row r="370" spans="3:41" x14ac:dyDescent="0.25">
      <c r="C370" s="22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  <c r="AA370" s="25"/>
      <c r="AB370" s="25"/>
      <c r="AC370" s="25"/>
      <c r="AD370" s="25"/>
      <c r="AE370" s="25"/>
      <c r="AF370" s="25"/>
      <c r="AG370" s="25"/>
      <c r="AH370" s="25"/>
      <c r="AI370" s="25"/>
      <c r="AJ370" s="25"/>
      <c r="AK370" s="25"/>
      <c r="AL370" s="25"/>
      <c r="AM370" s="25"/>
      <c r="AN370" s="25"/>
      <c r="AO370" s="26"/>
    </row>
    <row r="371" spans="3:41" x14ac:dyDescent="0.25">
      <c r="C371" s="22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  <c r="AA371" s="25"/>
      <c r="AB371" s="25"/>
      <c r="AC371" s="25"/>
      <c r="AD371" s="25"/>
      <c r="AE371" s="25"/>
      <c r="AF371" s="25"/>
      <c r="AG371" s="25"/>
      <c r="AH371" s="25"/>
      <c r="AI371" s="25"/>
      <c r="AJ371" s="25"/>
      <c r="AK371" s="25"/>
      <c r="AL371" s="25"/>
      <c r="AM371" s="25"/>
      <c r="AN371" s="25"/>
      <c r="AO371" s="26"/>
    </row>
    <row r="372" spans="3:41" x14ac:dyDescent="0.25">
      <c r="C372" s="22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  <c r="AA372" s="25"/>
      <c r="AB372" s="25"/>
      <c r="AC372" s="25"/>
      <c r="AD372" s="25"/>
      <c r="AE372" s="25"/>
      <c r="AF372" s="25"/>
      <c r="AG372" s="25"/>
      <c r="AH372" s="25"/>
      <c r="AI372" s="25"/>
      <c r="AJ372" s="25"/>
      <c r="AK372" s="25"/>
      <c r="AL372" s="25"/>
      <c r="AM372" s="25"/>
      <c r="AN372" s="25"/>
      <c r="AO372" s="26"/>
    </row>
    <row r="373" spans="3:41" x14ac:dyDescent="0.25">
      <c r="C373" s="22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  <c r="AA373" s="25"/>
      <c r="AB373" s="25"/>
      <c r="AC373" s="25"/>
      <c r="AD373" s="25"/>
      <c r="AE373" s="25"/>
      <c r="AF373" s="25"/>
      <c r="AG373" s="25"/>
      <c r="AH373" s="25"/>
      <c r="AI373" s="25"/>
      <c r="AJ373" s="25"/>
      <c r="AK373" s="25"/>
      <c r="AL373" s="25"/>
      <c r="AM373" s="25"/>
      <c r="AN373" s="25"/>
      <c r="AO373" s="26"/>
    </row>
    <row r="374" spans="3:41" x14ac:dyDescent="0.25">
      <c r="C374" s="22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  <c r="AA374" s="25"/>
      <c r="AB374" s="25"/>
      <c r="AC374" s="25"/>
      <c r="AD374" s="25"/>
      <c r="AE374" s="25"/>
      <c r="AF374" s="25"/>
      <c r="AG374" s="25"/>
      <c r="AH374" s="25"/>
      <c r="AI374" s="25"/>
      <c r="AJ374" s="25"/>
      <c r="AK374" s="25"/>
      <c r="AL374" s="25"/>
      <c r="AM374" s="25"/>
      <c r="AN374" s="25"/>
      <c r="AO374" s="26"/>
    </row>
    <row r="375" spans="3:41" x14ac:dyDescent="0.25">
      <c r="C375" s="22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  <c r="AA375" s="25"/>
      <c r="AB375" s="25"/>
      <c r="AC375" s="25"/>
      <c r="AD375" s="25"/>
      <c r="AE375" s="25"/>
      <c r="AF375" s="25"/>
      <c r="AG375" s="25"/>
      <c r="AH375" s="25"/>
      <c r="AI375" s="25"/>
      <c r="AJ375" s="25"/>
      <c r="AK375" s="25"/>
      <c r="AL375" s="25"/>
      <c r="AM375" s="25"/>
      <c r="AN375" s="25"/>
      <c r="AO375" s="26"/>
    </row>
    <row r="376" spans="3:41" x14ac:dyDescent="0.25">
      <c r="C376" s="22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  <c r="AA376" s="25"/>
      <c r="AB376" s="25"/>
      <c r="AC376" s="25"/>
      <c r="AD376" s="25"/>
      <c r="AE376" s="25"/>
      <c r="AF376" s="25"/>
      <c r="AG376" s="25"/>
      <c r="AH376" s="25"/>
      <c r="AI376" s="25"/>
      <c r="AJ376" s="25"/>
      <c r="AK376" s="25"/>
      <c r="AL376" s="25"/>
      <c r="AM376" s="25"/>
      <c r="AN376" s="25"/>
      <c r="AO376" s="26"/>
    </row>
    <row r="377" spans="3:41" x14ac:dyDescent="0.25">
      <c r="C377" s="22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  <c r="AA377" s="25"/>
      <c r="AB377" s="25"/>
      <c r="AC377" s="25"/>
      <c r="AD377" s="25"/>
      <c r="AE377" s="25"/>
      <c r="AF377" s="25"/>
      <c r="AG377" s="25"/>
      <c r="AH377" s="25"/>
      <c r="AI377" s="25"/>
      <c r="AJ377" s="25"/>
      <c r="AK377" s="25"/>
      <c r="AL377" s="25"/>
      <c r="AM377" s="25"/>
      <c r="AN377" s="25"/>
      <c r="AO377" s="26"/>
    </row>
    <row r="378" spans="3:41" x14ac:dyDescent="0.25">
      <c r="C378" s="22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  <c r="AA378" s="25"/>
      <c r="AB378" s="25"/>
      <c r="AC378" s="25"/>
      <c r="AD378" s="25"/>
      <c r="AE378" s="25"/>
      <c r="AF378" s="25"/>
      <c r="AG378" s="25"/>
      <c r="AH378" s="25"/>
      <c r="AI378" s="25"/>
      <c r="AJ378" s="25"/>
      <c r="AK378" s="25"/>
      <c r="AL378" s="25"/>
      <c r="AM378" s="25"/>
      <c r="AN378" s="25"/>
      <c r="AO378" s="26"/>
    </row>
    <row r="379" spans="3:41" x14ac:dyDescent="0.25">
      <c r="C379" s="22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  <c r="AA379" s="25"/>
      <c r="AB379" s="25"/>
      <c r="AC379" s="25"/>
      <c r="AD379" s="25"/>
      <c r="AE379" s="25"/>
      <c r="AF379" s="25"/>
      <c r="AG379" s="25"/>
      <c r="AH379" s="25"/>
      <c r="AI379" s="25"/>
      <c r="AJ379" s="25"/>
      <c r="AK379" s="25"/>
      <c r="AL379" s="25"/>
      <c r="AM379" s="25"/>
      <c r="AN379" s="25"/>
      <c r="AO379" s="26"/>
    </row>
    <row r="380" spans="3:41" x14ac:dyDescent="0.25">
      <c r="C380" s="22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  <c r="AA380" s="25"/>
      <c r="AB380" s="25"/>
      <c r="AC380" s="25"/>
      <c r="AD380" s="25"/>
      <c r="AE380" s="25"/>
      <c r="AF380" s="25"/>
      <c r="AG380" s="25"/>
      <c r="AH380" s="25"/>
      <c r="AI380" s="25"/>
      <c r="AJ380" s="25"/>
      <c r="AK380" s="25"/>
      <c r="AL380" s="25"/>
      <c r="AM380" s="25"/>
      <c r="AN380" s="25"/>
      <c r="AO380" s="26"/>
    </row>
    <row r="381" spans="3:41" x14ac:dyDescent="0.25">
      <c r="C381" s="22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  <c r="AA381" s="25"/>
      <c r="AB381" s="25"/>
      <c r="AC381" s="25"/>
      <c r="AD381" s="25"/>
      <c r="AE381" s="25"/>
      <c r="AF381" s="25"/>
      <c r="AG381" s="25"/>
      <c r="AH381" s="25"/>
      <c r="AI381" s="25"/>
      <c r="AJ381" s="25"/>
      <c r="AK381" s="25"/>
      <c r="AL381" s="25"/>
      <c r="AM381" s="25"/>
      <c r="AN381" s="25"/>
      <c r="AO381" s="26"/>
    </row>
    <row r="382" spans="3:41" x14ac:dyDescent="0.25">
      <c r="C382" s="22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  <c r="AA382" s="25"/>
      <c r="AB382" s="25"/>
      <c r="AC382" s="25"/>
      <c r="AD382" s="25"/>
      <c r="AE382" s="25"/>
      <c r="AF382" s="25"/>
      <c r="AG382" s="25"/>
      <c r="AH382" s="25"/>
      <c r="AI382" s="25"/>
      <c r="AJ382" s="25"/>
      <c r="AK382" s="25"/>
      <c r="AL382" s="25"/>
      <c r="AM382" s="25"/>
      <c r="AN382" s="25"/>
      <c r="AO382" s="26"/>
    </row>
    <row r="383" spans="3:41" x14ac:dyDescent="0.25">
      <c r="C383" s="22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  <c r="AA383" s="25"/>
      <c r="AB383" s="25"/>
      <c r="AC383" s="25"/>
      <c r="AD383" s="25"/>
      <c r="AE383" s="25"/>
      <c r="AF383" s="25"/>
      <c r="AG383" s="25"/>
      <c r="AH383" s="25"/>
      <c r="AI383" s="25"/>
      <c r="AJ383" s="25"/>
      <c r="AK383" s="25"/>
      <c r="AL383" s="25"/>
      <c r="AM383" s="25"/>
      <c r="AN383" s="25"/>
      <c r="AO383" s="26"/>
    </row>
    <row r="384" spans="3:41" x14ac:dyDescent="0.25">
      <c r="C384" s="22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  <c r="AA384" s="25"/>
      <c r="AB384" s="25"/>
      <c r="AC384" s="25"/>
      <c r="AD384" s="25"/>
      <c r="AE384" s="25"/>
      <c r="AF384" s="25"/>
      <c r="AG384" s="25"/>
      <c r="AH384" s="25"/>
      <c r="AI384" s="25"/>
      <c r="AJ384" s="25"/>
      <c r="AK384" s="25"/>
      <c r="AL384" s="25"/>
      <c r="AM384" s="25"/>
      <c r="AN384" s="25"/>
      <c r="AO384" s="26"/>
    </row>
    <row r="385" spans="3:41" x14ac:dyDescent="0.25">
      <c r="C385" s="22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  <c r="AA385" s="25"/>
      <c r="AB385" s="25"/>
      <c r="AC385" s="25"/>
      <c r="AD385" s="25"/>
      <c r="AE385" s="25"/>
      <c r="AF385" s="25"/>
      <c r="AG385" s="25"/>
      <c r="AH385" s="25"/>
      <c r="AI385" s="25"/>
      <c r="AJ385" s="25"/>
      <c r="AK385" s="25"/>
      <c r="AL385" s="25"/>
      <c r="AM385" s="25"/>
      <c r="AN385" s="25"/>
      <c r="AO385" s="26"/>
    </row>
    <row r="386" spans="3:41" x14ac:dyDescent="0.25">
      <c r="C386" s="22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  <c r="AA386" s="25"/>
      <c r="AB386" s="25"/>
      <c r="AC386" s="25"/>
      <c r="AD386" s="25"/>
      <c r="AE386" s="25"/>
      <c r="AF386" s="25"/>
      <c r="AG386" s="25"/>
      <c r="AH386" s="25"/>
      <c r="AI386" s="25"/>
      <c r="AJ386" s="25"/>
      <c r="AK386" s="25"/>
      <c r="AL386" s="25"/>
      <c r="AM386" s="25"/>
      <c r="AN386" s="25"/>
      <c r="AO386" s="26"/>
    </row>
    <row r="387" spans="3:41" x14ac:dyDescent="0.25">
      <c r="C387" s="22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  <c r="AA387" s="25"/>
      <c r="AB387" s="25"/>
      <c r="AC387" s="25"/>
      <c r="AD387" s="25"/>
      <c r="AE387" s="25"/>
      <c r="AF387" s="25"/>
      <c r="AG387" s="25"/>
      <c r="AH387" s="25"/>
      <c r="AI387" s="25"/>
      <c r="AJ387" s="25"/>
      <c r="AK387" s="25"/>
      <c r="AL387" s="25"/>
      <c r="AM387" s="25"/>
      <c r="AN387" s="25"/>
      <c r="AO387" s="26"/>
    </row>
    <row r="388" spans="3:41" x14ac:dyDescent="0.25">
      <c r="C388" s="22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  <c r="AA388" s="25"/>
      <c r="AB388" s="25"/>
      <c r="AC388" s="25"/>
      <c r="AD388" s="25"/>
      <c r="AE388" s="25"/>
      <c r="AF388" s="25"/>
      <c r="AG388" s="25"/>
      <c r="AH388" s="25"/>
      <c r="AI388" s="25"/>
      <c r="AJ388" s="25"/>
      <c r="AK388" s="25"/>
      <c r="AL388" s="25"/>
      <c r="AM388" s="25"/>
      <c r="AN388" s="25"/>
      <c r="AO388" s="26"/>
    </row>
    <row r="389" spans="3:41" x14ac:dyDescent="0.25">
      <c r="C389" s="22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  <c r="AA389" s="25"/>
      <c r="AB389" s="25"/>
      <c r="AC389" s="25"/>
      <c r="AD389" s="25"/>
      <c r="AE389" s="25"/>
      <c r="AF389" s="25"/>
      <c r="AG389" s="25"/>
      <c r="AH389" s="25"/>
      <c r="AI389" s="25"/>
      <c r="AJ389" s="25"/>
      <c r="AK389" s="25"/>
      <c r="AL389" s="25"/>
      <c r="AM389" s="25"/>
      <c r="AN389" s="25"/>
      <c r="AO389" s="26"/>
    </row>
    <row r="390" spans="3:41" x14ac:dyDescent="0.25">
      <c r="C390" s="22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  <c r="AA390" s="25"/>
      <c r="AB390" s="25"/>
      <c r="AC390" s="25"/>
      <c r="AD390" s="25"/>
      <c r="AE390" s="25"/>
      <c r="AF390" s="25"/>
      <c r="AG390" s="25"/>
      <c r="AH390" s="25"/>
      <c r="AI390" s="25"/>
      <c r="AJ390" s="25"/>
      <c r="AK390" s="25"/>
      <c r="AL390" s="25"/>
      <c r="AM390" s="25"/>
      <c r="AN390" s="25"/>
      <c r="AO390" s="26"/>
    </row>
    <row r="391" spans="3:41" x14ac:dyDescent="0.25">
      <c r="C391" s="22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  <c r="AA391" s="25"/>
      <c r="AB391" s="25"/>
      <c r="AC391" s="25"/>
      <c r="AD391" s="25"/>
      <c r="AE391" s="25"/>
      <c r="AF391" s="25"/>
      <c r="AG391" s="25"/>
      <c r="AH391" s="25"/>
      <c r="AI391" s="25"/>
      <c r="AJ391" s="25"/>
      <c r="AK391" s="25"/>
      <c r="AL391" s="25"/>
      <c r="AM391" s="25"/>
      <c r="AN391" s="25"/>
      <c r="AO391" s="26"/>
    </row>
    <row r="392" spans="3:41" x14ac:dyDescent="0.25">
      <c r="C392" s="22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  <c r="AA392" s="25"/>
      <c r="AB392" s="25"/>
      <c r="AC392" s="25"/>
      <c r="AD392" s="25"/>
      <c r="AE392" s="25"/>
      <c r="AF392" s="25"/>
      <c r="AG392" s="25"/>
      <c r="AH392" s="25"/>
      <c r="AI392" s="25"/>
      <c r="AJ392" s="25"/>
      <c r="AK392" s="25"/>
      <c r="AL392" s="25"/>
      <c r="AM392" s="25"/>
      <c r="AN392" s="25"/>
      <c r="AO392" s="26"/>
    </row>
    <row r="393" spans="3:41" x14ac:dyDescent="0.25">
      <c r="C393" s="22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  <c r="AA393" s="25"/>
      <c r="AB393" s="25"/>
      <c r="AC393" s="25"/>
      <c r="AD393" s="25"/>
      <c r="AE393" s="25"/>
      <c r="AF393" s="25"/>
      <c r="AG393" s="25"/>
      <c r="AH393" s="25"/>
      <c r="AI393" s="25"/>
      <c r="AJ393" s="25"/>
      <c r="AK393" s="25"/>
      <c r="AL393" s="25"/>
      <c r="AM393" s="25"/>
      <c r="AN393" s="25"/>
      <c r="AO393" s="26"/>
    </row>
    <row r="394" spans="3:41" x14ac:dyDescent="0.25">
      <c r="C394" s="22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  <c r="AA394" s="25"/>
      <c r="AB394" s="25"/>
      <c r="AC394" s="25"/>
      <c r="AD394" s="25"/>
      <c r="AE394" s="25"/>
      <c r="AF394" s="25"/>
      <c r="AG394" s="25"/>
      <c r="AH394" s="25"/>
      <c r="AI394" s="25"/>
      <c r="AJ394" s="25"/>
      <c r="AK394" s="25"/>
      <c r="AL394" s="25"/>
      <c r="AM394" s="25"/>
      <c r="AN394" s="25"/>
      <c r="AO394" s="26"/>
    </row>
    <row r="395" spans="3:41" x14ac:dyDescent="0.25">
      <c r="C395" s="22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  <c r="AA395" s="25"/>
      <c r="AB395" s="25"/>
      <c r="AC395" s="25"/>
      <c r="AD395" s="25"/>
      <c r="AE395" s="25"/>
      <c r="AF395" s="25"/>
      <c r="AG395" s="25"/>
      <c r="AH395" s="25"/>
      <c r="AI395" s="25"/>
      <c r="AJ395" s="25"/>
      <c r="AK395" s="25"/>
      <c r="AL395" s="25"/>
      <c r="AM395" s="25"/>
      <c r="AN395" s="25"/>
      <c r="AO395" s="26"/>
    </row>
    <row r="396" spans="3:41" x14ac:dyDescent="0.25">
      <c r="C396" s="22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  <c r="AA396" s="25"/>
      <c r="AB396" s="25"/>
      <c r="AC396" s="25"/>
      <c r="AD396" s="25"/>
      <c r="AE396" s="25"/>
      <c r="AF396" s="25"/>
      <c r="AG396" s="25"/>
      <c r="AH396" s="25"/>
      <c r="AI396" s="25"/>
      <c r="AJ396" s="25"/>
      <c r="AK396" s="25"/>
      <c r="AL396" s="25"/>
      <c r="AM396" s="25"/>
      <c r="AN396" s="25"/>
      <c r="AO396" s="26"/>
    </row>
    <row r="397" spans="3:41" x14ac:dyDescent="0.25">
      <c r="C397" s="22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  <c r="AA397" s="25"/>
      <c r="AB397" s="25"/>
      <c r="AC397" s="25"/>
      <c r="AD397" s="25"/>
      <c r="AE397" s="25"/>
      <c r="AF397" s="25"/>
      <c r="AG397" s="25"/>
      <c r="AH397" s="25"/>
      <c r="AI397" s="25"/>
      <c r="AJ397" s="25"/>
      <c r="AK397" s="25"/>
      <c r="AL397" s="25"/>
      <c r="AM397" s="25"/>
      <c r="AN397" s="25"/>
      <c r="AO397" s="26"/>
    </row>
    <row r="398" spans="3:41" x14ac:dyDescent="0.25">
      <c r="C398" s="22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  <c r="AA398" s="25"/>
      <c r="AB398" s="25"/>
      <c r="AC398" s="25"/>
      <c r="AD398" s="25"/>
      <c r="AE398" s="25"/>
      <c r="AF398" s="25"/>
      <c r="AG398" s="25"/>
      <c r="AH398" s="25"/>
      <c r="AI398" s="25"/>
      <c r="AJ398" s="25"/>
      <c r="AK398" s="25"/>
      <c r="AL398" s="25"/>
      <c r="AM398" s="25"/>
      <c r="AN398" s="25"/>
      <c r="AO398" s="26"/>
    </row>
    <row r="399" spans="3:41" x14ac:dyDescent="0.25">
      <c r="C399" s="22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  <c r="AA399" s="25"/>
      <c r="AB399" s="25"/>
      <c r="AC399" s="25"/>
      <c r="AD399" s="25"/>
      <c r="AE399" s="25"/>
      <c r="AF399" s="25"/>
      <c r="AG399" s="25"/>
      <c r="AH399" s="25"/>
      <c r="AI399" s="25"/>
      <c r="AJ399" s="25"/>
      <c r="AK399" s="25"/>
      <c r="AL399" s="25"/>
      <c r="AM399" s="25"/>
      <c r="AN399" s="25"/>
      <c r="AO399" s="26"/>
    </row>
    <row r="400" spans="3:41" x14ac:dyDescent="0.25">
      <c r="C400" s="22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  <c r="AA400" s="25"/>
      <c r="AB400" s="25"/>
      <c r="AC400" s="25"/>
      <c r="AD400" s="25"/>
      <c r="AE400" s="25"/>
      <c r="AF400" s="25"/>
      <c r="AG400" s="25"/>
      <c r="AH400" s="25"/>
      <c r="AI400" s="25"/>
      <c r="AJ400" s="25"/>
      <c r="AK400" s="25"/>
      <c r="AL400" s="25"/>
      <c r="AM400" s="25"/>
      <c r="AN400" s="25"/>
      <c r="AO400" s="26"/>
    </row>
    <row r="401" spans="3:41" x14ac:dyDescent="0.25">
      <c r="C401" s="22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  <c r="AA401" s="25"/>
      <c r="AB401" s="25"/>
      <c r="AC401" s="25"/>
      <c r="AD401" s="25"/>
      <c r="AE401" s="25"/>
      <c r="AF401" s="25"/>
      <c r="AG401" s="25"/>
      <c r="AH401" s="25"/>
      <c r="AI401" s="25"/>
      <c r="AJ401" s="25"/>
      <c r="AK401" s="25"/>
      <c r="AL401" s="25"/>
      <c r="AM401" s="25"/>
      <c r="AN401" s="25"/>
      <c r="AO401" s="26"/>
    </row>
    <row r="402" spans="3:41" x14ac:dyDescent="0.25">
      <c r="C402" s="22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  <c r="AA402" s="25"/>
      <c r="AB402" s="25"/>
      <c r="AC402" s="25"/>
      <c r="AD402" s="25"/>
      <c r="AE402" s="25"/>
      <c r="AF402" s="25"/>
      <c r="AG402" s="25"/>
      <c r="AH402" s="25"/>
      <c r="AI402" s="25"/>
      <c r="AJ402" s="25"/>
      <c r="AK402" s="25"/>
      <c r="AL402" s="25"/>
      <c r="AM402" s="25"/>
      <c r="AN402" s="25"/>
      <c r="AO402" s="26"/>
    </row>
    <row r="403" spans="3:41" x14ac:dyDescent="0.25">
      <c r="C403" s="22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  <c r="AA403" s="25"/>
      <c r="AB403" s="25"/>
      <c r="AC403" s="25"/>
      <c r="AD403" s="25"/>
      <c r="AE403" s="25"/>
      <c r="AF403" s="25"/>
      <c r="AG403" s="25"/>
      <c r="AH403" s="25"/>
      <c r="AI403" s="25"/>
      <c r="AJ403" s="25"/>
      <c r="AK403" s="25"/>
      <c r="AL403" s="25"/>
      <c r="AM403" s="25"/>
      <c r="AN403" s="25"/>
      <c r="AO403" s="26"/>
    </row>
    <row r="404" spans="3:41" x14ac:dyDescent="0.25">
      <c r="C404" s="22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  <c r="AA404" s="25"/>
      <c r="AB404" s="25"/>
      <c r="AC404" s="25"/>
      <c r="AD404" s="25"/>
      <c r="AE404" s="25"/>
      <c r="AF404" s="25"/>
      <c r="AG404" s="25"/>
      <c r="AH404" s="25"/>
      <c r="AI404" s="25"/>
      <c r="AJ404" s="25"/>
      <c r="AK404" s="25"/>
      <c r="AL404" s="25"/>
      <c r="AM404" s="25"/>
      <c r="AN404" s="25"/>
      <c r="AO404" s="26"/>
    </row>
    <row r="405" spans="3:41" x14ac:dyDescent="0.25">
      <c r="C405" s="22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  <c r="AA405" s="25"/>
      <c r="AB405" s="25"/>
      <c r="AC405" s="25"/>
      <c r="AD405" s="25"/>
      <c r="AE405" s="25"/>
      <c r="AF405" s="25"/>
      <c r="AG405" s="25"/>
      <c r="AH405" s="25"/>
      <c r="AI405" s="25"/>
      <c r="AJ405" s="25"/>
      <c r="AK405" s="25"/>
      <c r="AL405" s="25"/>
      <c r="AM405" s="25"/>
      <c r="AN405" s="25"/>
      <c r="AO405" s="26"/>
    </row>
    <row r="406" spans="3:41" x14ac:dyDescent="0.25">
      <c r="C406" s="22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  <c r="AA406" s="25"/>
      <c r="AB406" s="25"/>
      <c r="AC406" s="25"/>
      <c r="AD406" s="25"/>
      <c r="AE406" s="25"/>
      <c r="AF406" s="25"/>
      <c r="AG406" s="25"/>
      <c r="AH406" s="25"/>
      <c r="AI406" s="25"/>
      <c r="AJ406" s="25"/>
      <c r="AK406" s="25"/>
      <c r="AL406" s="25"/>
      <c r="AM406" s="25"/>
      <c r="AN406" s="25"/>
      <c r="AO406" s="26"/>
    </row>
    <row r="407" spans="3:41" x14ac:dyDescent="0.25">
      <c r="C407" s="22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  <c r="AA407" s="25"/>
      <c r="AB407" s="25"/>
      <c r="AC407" s="25"/>
      <c r="AD407" s="25"/>
      <c r="AE407" s="25"/>
      <c r="AF407" s="25"/>
      <c r="AG407" s="25"/>
      <c r="AH407" s="25"/>
      <c r="AI407" s="25"/>
      <c r="AJ407" s="25"/>
      <c r="AK407" s="25"/>
      <c r="AL407" s="25"/>
      <c r="AM407" s="25"/>
      <c r="AN407" s="25"/>
      <c r="AO407" s="26"/>
    </row>
    <row r="408" spans="3:41" x14ac:dyDescent="0.25">
      <c r="C408" s="22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  <c r="AA408" s="25"/>
      <c r="AB408" s="25"/>
      <c r="AC408" s="25"/>
      <c r="AD408" s="25"/>
      <c r="AE408" s="25"/>
      <c r="AF408" s="25"/>
      <c r="AG408" s="25"/>
      <c r="AH408" s="25"/>
      <c r="AI408" s="25"/>
      <c r="AJ408" s="25"/>
      <c r="AK408" s="25"/>
      <c r="AL408" s="25"/>
      <c r="AM408" s="25"/>
      <c r="AN408" s="25"/>
      <c r="AO408" s="26"/>
    </row>
    <row r="409" spans="3:41" x14ac:dyDescent="0.25">
      <c r="C409" s="22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  <c r="AA409" s="25"/>
      <c r="AB409" s="25"/>
      <c r="AC409" s="25"/>
      <c r="AD409" s="25"/>
      <c r="AE409" s="25"/>
      <c r="AF409" s="25"/>
      <c r="AG409" s="25"/>
      <c r="AH409" s="25"/>
      <c r="AI409" s="25"/>
      <c r="AJ409" s="25"/>
      <c r="AK409" s="25"/>
      <c r="AL409" s="25"/>
      <c r="AM409" s="25"/>
      <c r="AN409" s="25"/>
      <c r="AO409" s="26"/>
    </row>
    <row r="410" spans="3:41" x14ac:dyDescent="0.25">
      <c r="C410" s="22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  <c r="AA410" s="25"/>
      <c r="AB410" s="25"/>
      <c r="AC410" s="25"/>
      <c r="AD410" s="25"/>
      <c r="AE410" s="25"/>
      <c r="AF410" s="25"/>
      <c r="AG410" s="25"/>
      <c r="AH410" s="25"/>
      <c r="AI410" s="25"/>
      <c r="AJ410" s="25"/>
      <c r="AK410" s="25"/>
      <c r="AL410" s="25"/>
      <c r="AM410" s="25"/>
      <c r="AN410" s="25"/>
      <c r="AO410" s="26"/>
    </row>
    <row r="411" spans="3:41" x14ac:dyDescent="0.25">
      <c r="C411" s="22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  <c r="AA411" s="25"/>
      <c r="AB411" s="25"/>
      <c r="AC411" s="25"/>
      <c r="AD411" s="25"/>
      <c r="AE411" s="25"/>
      <c r="AF411" s="25"/>
      <c r="AG411" s="25"/>
      <c r="AH411" s="25"/>
      <c r="AI411" s="25"/>
      <c r="AJ411" s="25"/>
      <c r="AK411" s="25"/>
      <c r="AL411" s="25"/>
      <c r="AM411" s="25"/>
      <c r="AN411" s="25"/>
      <c r="AO411" s="26"/>
    </row>
    <row r="412" spans="3:41" x14ac:dyDescent="0.25">
      <c r="C412" s="22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  <c r="AA412" s="25"/>
      <c r="AB412" s="25"/>
      <c r="AC412" s="25"/>
      <c r="AD412" s="25"/>
      <c r="AE412" s="25"/>
      <c r="AF412" s="25"/>
      <c r="AG412" s="25"/>
      <c r="AH412" s="25"/>
      <c r="AI412" s="25"/>
      <c r="AJ412" s="25"/>
      <c r="AK412" s="25"/>
      <c r="AL412" s="25"/>
      <c r="AM412" s="25"/>
      <c r="AN412" s="25"/>
      <c r="AO412" s="26"/>
    </row>
    <row r="413" spans="3:41" x14ac:dyDescent="0.25">
      <c r="C413" s="22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  <c r="AA413" s="25"/>
      <c r="AB413" s="25"/>
      <c r="AC413" s="25"/>
      <c r="AD413" s="25"/>
      <c r="AE413" s="25"/>
      <c r="AF413" s="25"/>
      <c r="AG413" s="25"/>
      <c r="AH413" s="25"/>
      <c r="AI413" s="25"/>
      <c r="AJ413" s="25"/>
      <c r="AK413" s="25"/>
      <c r="AL413" s="25"/>
      <c r="AM413" s="25"/>
      <c r="AN413" s="25"/>
      <c r="AO413" s="26"/>
    </row>
    <row r="414" spans="3:41" x14ac:dyDescent="0.25">
      <c r="C414" s="22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  <c r="AA414" s="25"/>
      <c r="AB414" s="25"/>
      <c r="AC414" s="25"/>
      <c r="AD414" s="25"/>
      <c r="AE414" s="25"/>
      <c r="AF414" s="25"/>
      <c r="AG414" s="25"/>
      <c r="AH414" s="25"/>
      <c r="AI414" s="25"/>
      <c r="AJ414" s="25"/>
      <c r="AK414" s="25"/>
      <c r="AL414" s="25"/>
      <c r="AM414" s="25"/>
      <c r="AN414" s="25"/>
      <c r="AO414" s="26"/>
    </row>
    <row r="415" spans="3:41" x14ac:dyDescent="0.25">
      <c r="C415" s="22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  <c r="AA415" s="25"/>
      <c r="AB415" s="25"/>
      <c r="AC415" s="25"/>
      <c r="AD415" s="25"/>
      <c r="AE415" s="25"/>
      <c r="AF415" s="25"/>
      <c r="AG415" s="25"/>
      <c r="AH415" s="25"/>
      <c r="AI415" s="25"/>
      <c r="AJ415" s="25"/>
      <c r="AK415" s="25"/>
      <c r="AL415" s="25"/>
      <c r="AM415" s="25"/>
      <c r="AN415" s="25"/>
      <c r="AO415" s="26"/>
    </row>
    <row r="416" spans="3:41" x14ac:dyDescent="0.25">
      <c r="C416" s="22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  <c r="AA416" s="25"/>
      <c r="AB416" s="25"/>
      <c r="AC416" s="25"/>
      <c r="AD416" s="25"/>
      <c r="AE416" s="25"/>
      <c r="AF416" s="25"/>
      <c r="AG416" s="25"/>
      <c r="AH416" s="25"/>
      <c r="AI416" s="25"/>
      <c r="AJ416" s="25"/>
      <c r="AK416" s="25"/>
      <c r="AL416" s="25"/>
      <c r="AM416" s="25"/>
      <c r="AN416" s="25"/>
      <c r="AO416" s="26"/>
    </row>
    <row r="417" spans="3:41" x14ac:dyDescent="0.25">
      <c r="C417" s="22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  <c r="AA417" s="25"/>
      <c r="AB417" s="25"/>
      <c r="AC417" s="25"/>
      <c r="AD417" s="25"/>
      <c r="AE417" s="25"/>
      <c r="AF417" s="25"/>
      <c r="AG417" s="25"/>
      <c r="AH417" s="25"/>
      <c r="AI417" s="25"/>
      <c r="AJ417" s="25"/>
      <c r="AK417" s="25"/>
      <c r="AL417" s="25"/>
      <c r="AM417" s="25"/>
      <c r="AN417" s="25"/>
      <c r="AO417" s="26"/>
    </row>
    <row r="418" spans="3:41" x14ac:dyDescent="0.25">
      <c r="C418" s="22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  <c r="AA418" s="25"/>
      <c r="AB418" s="25"/>
      <c r="AC418" s="25"/>
      <c r="AD418" s="25"/>
      <c r="AE418" s="25"/>
      <c r="AF418" s="25"/>
      <c r="AG418" s="25"/>
      <c r="AH418" s="25"/>
      <c r="AI418" s="25"/>
      <c r="AJ418" s="25"/>
      <c r="AK418" s="25"/>
      <c r="AL418" s="25"/>
      <c r="AM418" s="25"/>
      <c r="AN418" s="25"/>
      <c r="AO418" s="26"/>
    </row>
    <row r="419" spans="3:41" x14ac:dyDescent="0.25">
      <c r="C419" s="22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  <c r="AA419" s="25"/>
      <c r="AB419" s="25"/>
      <c r="AC419" s="25"/>
      <c r="AD419" s="25"/>
      <c r="AE419" s="25"/>
      <c r="AF419" s="25"/>
      <c r="AG419" s="25"/>
      <c r="AH419" s="25"/>
      <c r="AI419" s="25"/>
      <c r="AJ419" s="25"/>
      <c r="AK419" s="25"/>
      <c r="AL419" s="25"/>
      <c r="AM419" s="25"/>
      <c r="AN419" s="25"/>
      <c r="AO419" s="26"/>
    </row>
    <row r="420" spans="3:41" x14ac:dyDescent="0.25">
      <c r="C420" s="22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  <c r="AA420" s="25"/>
      <c r="AB420" s="25"/>
      <c r="AC420" s="25"/>
      <c r="AD420" s="25"/>
      <c r="AE420" s="25"/>
      <c r="AF420" s="25"/>
      <c r="AG420" s="25"/>
      <c r="AH420" s="25"/>
      <c r="AI420" s="25"/>
      <c r="AJ420" s="25"/>
      <c r="AK420" s="25"/>
      <c r="AL420" s="25"/>
      <c r="AM420" s="25"/>
      <c r="AN420" s="25"/>
      <c r="AO420" s="26"/>
    </row>
    <row r="421" spans="3:41" x14ac:dyDescent="0.25">
      <c r="C421" s="22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  <c r="AA421" s="25"/>
      <c r="AB421" s="25"/>
      <c r="AC421" s="25"/>
      <c r="AD421" s="25"/>
      <c r="AE421" s="25"/>
      <c r="AF421" s="25"/>
      <c r="AG421" s="25"/>
      <c r="AH421" s="25"/>
      <c r="AI421" s="25"/>
      <c r="AJ421" s="25"/>
      <c r="AK421" s="25"/>
      <c r="AL421" s="25"/>
      <c r="AM421" s="25"/>
      <c r="AN421" s="25"/>
      <c r="AO421" s="26"/>
    </row>
    <row r="422" spans="3:41" x14ac:dyDescent="0.25">
      <c r="C422" s="22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  <c r="AA422" s="25"/>
      <c r="AB422" s="25"/>
      <c r="AC422" s="25"/>
      <c r="AD422" s="25"/>
      <c r="AE422" s="25"/>
      <c r="AF422" s="25"/>
      <c r="AG422" s="25"/>
      <c r="AH422" s="25"/>
      <c r="AI422" s="25"/>
      <c r="AJ422" s="25"/>
      <c r="AK422" s="25"/>
      <c r="AL422" s="25"/>
      <c r="AM422" s="25"/>
      <c r="AN422" s="25"/>
      <c r="AO422" s="26"/>
    </row>
    <row r="423" spans="3:41" x14ac:dyDescent="0.25">
      <c r="C423" s="22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  <c r="AA423" s="25"/>
      <c r="AB423" s="25"/>
      <c r="AC423" s="25"/>
      <c r="AD423" s="25"/>
      <c r="AE423" s="25"/>
      <c r="AF423" s="25"/>
      <c r="AG423" s="25"/>
      <c r="AH423" s="25"/>
      <c r="AI423" s="25"/>
      <c r="AJ423" s="25"/>
      <c r="AK423" s="25"/>
      <c r="AL423" s="25"/>
      <c r="AM423" s="25"/>
      <c r="AN423" s="25"/>
      <c r="AO423" s="26"/>
    </row>
    <row r="424" spans="3:41" x14ac:dyDescent="0.25">
      <c r="C424" s="22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  <c r="AA424" s="25"/>
      <c r="AB424" s="25"/>
      <c r="AC424" s="25"/>
      <c r="AD424" s="25"/>
      <c r="AE424" s="25"/>
      <c r="AF424" s="25"/>
      <c r="AG424" s="25"/>
      <c r="AH424" s="25"/>
      <c r="AI424" s="25"/>
      <c r="AJ424" s="25"/>
      <c r="AK424" s="25"/>
      <c r="AL424" s="25"/>
      <c r="AM424" s="25"/>
      <c r="AN424" s="25"/>
      <c r="AO424" s="26"/>
    </row>
    <row r="425" spans="3:41" x14ac:dyDescent="0.25">
      <c r="C425" s="22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  <c r="AA425" s="25"/>
      <c r="AB425" s="25"/>
      <c r="AC425" s="25"/>
      <c r="AD425" s="25"/>
      <c r="AE425" s="25"/>
      <c r="AF425" s="25"/>
      <c r="AG425" s="25"/>
      <c r="AH425" s="25"/>
      <c r="AI425" s="25"/>
      <c r="AJ425" s="25"/>
      <c r="AK425" s="25"/>
      <c r="AL425" s="25"/>
      <c r="AM425" s="25"/>
      <c r="AN425" s="25"/>
      <c r="AO425" s="26"/>
    </row>
    <row r="426" spans="3:41" x14ac:dyDescent="0.25">
      <c r="C426" s="22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  <c r="AA426" s="25"/>
      <c r="AB426" s="25"/>
      <c r="AC426" s="25"/>
      <c r="AD426" s="25"/>
      <c r="AE426" s="25"/>
      <c r="AF426" s="25"/>
      <c r="AG426" s="25"/>
      <c r="AH426" s="25"/>
      <c r="AI426" s="25"/>
      <c r="AJ426" s="25"/>
      <c r="AK426" s="25"/>
      <c r="AL426" s="25"/>
      <c r="AM426" s="25"/>
      <c r="AN426" s="25"/>
      <c r="AO426" s="26"/>
    </row>
    <row r="427" spans="3:41" x14ac:dyDescent="0.25">
      <c r="C427" s="22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  <c r="AA427" s="25"/>
      <c r="AB427" s="25"/>
      <c r="AC427" s="25"/>
      <c r="AD427" s="25"/>
      <c r="AE427" s="25"/>
      <c r="AF427" s="25"/>
      <c r="AG427" s="25"/>
      <c r="AH427" s="25"/>
      <c r="AI427" s="25"/>
      <c r="AJ427" s="25"/>
      <c r="AK427" s="25"/>
      <c r="AL427" s="25"/>
      <c r="AM427" s="25"/>
      <c r="AN427" s="25"/>
      <c r="AO427" s="26"/>
    </row>
    <row r="428" spans="3:41" x14ac:dyDescent="0.25">
      <c r="C428" s="22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  <c r="AA428" s="25"/>
      <c r="AB428" s="25"/>
      <c r="AC428" s="25"/>
      <c r="AD428" s="25"/>
      <c r="AE428" s="25"/>
      <c r="AF428" s="25"/>
      <c r="AG428" s="25"/>
      <c r="AH428" s="25"/>
      <c r="AI428" s="25"/>
      <c r="AJ428" s="25"/>
      <c r="AK428" s="25"/>
      <c r="AL428" s="25"/>
      <c r="AM428" s="25"/>
      <c r="AN428" s="25"/>
      <c r="AO428" s="26"/>
    </row>
    <row r="429" spans="3:41" x14ac:dyDescent="0.25">
      <c r="C429" s="22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  <c r="AA429" s="25"/>
      <c r="AB429" s="25"/>
      <c r="AC429" s="25"/>
      <c r="AD429" s="25"/>
      <c r="AE429" s="25"/>
      <c r="AF429" s="25"/>
      <c r="AG429" s="25"/>
      <c r="AH429" s="25"/>
      <c r="AI429" s="25"/>
      <c r="AJ429" s="25"/>
      <c r="AK429" s="25"/>
      <c r="AL429" s="25"/>
      <c r="AM429" s="25"/>
      <c r="AN429" s="25"/>
      <c r="AO429" s="26"/>
    </row>
    <row r="430" spans="3:41" x14ac:dyDescent="0.25">
      <c r="C430" s="22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  <c r="AA430" s="25"/>
      <c r="AB430" s="25"/>
      <c r="AC430" s="25"/>
      <c r="AD430" s="25"/>
      <c r="AE430" s="25"/>
      <c r="AF430" s="25"/>
      <c r="AG430" s="25"/>
      <c r="AH430" s="25"/>
      <c r="AI430" s="25"/>
      <c r="AJ430" s="25"/>
      <c r="AK430" s="25"/>
      <c r="AL430" s="25"/>
      <c r="AM430" s="25"/>
      <c r="AN430" s="25"/>
      <c r="AO430" s="26"/>
    </row>
    <row r="431" spans="3:41" x14ac:dyDescent="0.25">
      <c r="C431" s="22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  <c r="AA431" s="25"/>
      <c r="AB431" s="25"/>
      <c r="AC431" s="25"/>
      <c r="AD431" s="25"/>
      <c r="AE431" s="25"/>
      <c r="AF431" s="25"/>
      <c r="AG431" s="25"/>
      <c r="AH431" s="25"/>
      <c r="AI431" s="25"/>
      <c r="AJ431" s="25"/>
      <c r="AK431" s="25"/>
      <c r="AL431" s="25"/>
      <c r="AM431" s="25"/>
      <c r="AN431" s="25"/>
      <c r="AO431" s="26"/>
    </row>
    <row r="432" spans="3:41" x14ac:dyDescent="0.25">
      <c r="C432" s="22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  <c r="AA432" s="25"/>
      <c r="AB432" s="25"/>
      <c r="AC432" s="25"/>
      <c r="AD432" s="25"/>
      <c r="AE432" s="25"/>
      <c r="AF432" s="25"/>
      <c r="AG432" s="25"/>
      <c r="AH432" s="25"/>
      <c r="AI432" s="25"/>
      <c r="AJ432" s="25"/>
      <c r="AK432" s="25"/>
      <c r="AL432" s="25"/>
      <c r="AM432" s="25"/>
      <c r="AN432" s="25"/>
      <c r="AO432" s="26"/>
    </row>
    <row r="433" spans="3:41" x14ac:dyDescent="0.25">
      <c r="C433" s="22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  <c r="AA433" s="25"/>
      <c r="AB433" s="25"/>
      <c r="AC433" s="25"/>
      <c r="AD433" s="25"/>
      <c r="AE433" s="25"/>
      <c r="AF433" s="25"/>
      <c r="AG433" s="25"/>
      <c r="AH433" s="25"/>
      <c r="AI433" s="25"/>
      <c r="AJ433" s="25"/>
      <c r="AK433" s="25"/>
      <c r="AL433" s="25"/>
      <c r="AM433" s="25"/>
      <c r="AN433" s="25"/>
      <c r="AO433" s="26"/>
    </row>
    <row r="434" spans="3:41" x14ac:dyDescent="0.25">
      <c r="C434" s="22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  <c r="AA434" s="25"/>
      <c r="AB434" s="25"/>
      <c r="AC434" s="25"/>
      <c r="AD434" s="25"/>
      <c r="AE434" s="25"/>
      <c r="AF434" s="25"/>
      <c r="AG434" s="25"/>
      <c r="AH434" s="25"/>
      <c r="AI434" s="25"/>
      <c r="AJ434" s="25"/>
      <c r="AK434" s="25"/>
      <c r="AL434" s="25"/>
      <c r="AM434" s="25"/>
      <c r="AN434" s="25"/>
      <c r="AO434" s="26"/>
    </row>
    <row r="435" spans="3:41" x14ac:dyDescent="0.25">
      <c r="C435" s="22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  <c r="AA435" s="25"/>
      <c r="AB435" s="25"/>
      <c r="AC435" s="25"/>
      <c r="AD435" s="25"/>
      <c r="AE435" s="25"/>
      <c r="AF435" s="25"/>
      <c r="AG435" s="25"/>
      <c r="AH435" s="25"/>
      <c r="AI435" s="25"/>
      <c r="AJ435" s="25"/>
      <c r="AK435" s="25"/>
      <c r="AL435" s="25"/>
      <c r="AM435" s="25"/>
      <c r="AN435" s="25"/>
      <c r="AO435" s="26"/>
    </row>
    <row r="436" spans="3:41" x14ac:dyDescent="0.25">
      <c r="C436" s="22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  <c r="AA436" s="25"/>
      <c r="AB436" s="25"/>
      <c r="AC436" s="25"/>
      <c r="AD436" s="25"/>
      <c r="AE436" s="25"/>
      <c r="AF436" s="25"/>
      <c r="AG436" s="25"/>
      <c r="AH436" s="25"/>
      <c r="AI436" s="25"/>
      <c r="AJ436" s="25"/>
      <c r="AK436" s="25"/>
      <c r="AL436" s="25"/>
      <c r="AM436" s="25"/>
      <c r="AN436" s="25"/>
      <c r="AO436" s="26"/>
    </row>
    <row r="437" spans="3:41" x14ac:dyDescent="0.25">
      <c r="C437" s="22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  <c r="AA437" s="25"/>
      <c r="AB437" s="25"/>
      <c r="AC437" s="25"/>
      <c r="AD437" s="25"/>
      <c r="AE437" s="25"/>
      <c r="AF437" s="25"/>
      <c r="AG437" s="25"/>
      <c r="AH437" s="25"/>
      <c r="AI437" s="25"/>
      <c r="AJ437" s="25"/>
      <c r="AK437" s="25"/>
      <c r="AL437" s="25"/>
      <c r="AM437" s="25"/>
      <c r="AN437" s="25"/>
      <c r="AO437" s="26"/>
    </row>
    <row r="438" spans="3:41" x14ac:dyDescent="0.25">
      <c r="C438" s="22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  <c r="AA438" s="25"/>
      <c r="AB438" s="25"/>
      <c r="AC438" s="25"/>
      <c r="AD438" s="25"/>
      <c r="AE438" s="25"/>
      <c r="AF438" s="25"/>
      <c r="AG438" s="25"/>
      <c r="AH438" s="25"/>
      <c r="AI438" s="25"/>
      <c r="AJ438" s="25"/>
      <c r="AK438" s="25"/>
      <c r="AL438" s="25"/>
      <c r="AM438" s="25"/>
      <c r="AN438" s="25"/>
      <c r="AO438" s="26"/>
    </row>
    <row r="439" spans="3:41" x14ac:dyDescent="0.25">
      <c r="C439" s="22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  <c r="AA439" s="25"/>
      <c r="AB439" s="25"/>
      <c r="AC439" s="25"/>
      <c r="AD439" s="25"/>
      <c r="AE439" s="25"/>
      <c r="AF439" s="25"/>
      <c r="AG439" s="25"/>
      <c r="AH439" s="25"/>
      <c r="AI439" s="25"/>
      <c r="AJ439" s="25"/>
      <c r="AK439" s="25"/>
      <c r="AL439" s="25"/>
      <c r="AM439" s="25"/>
      <c r="AN439" s="25"/>
      <c r="AO439" s="26"/>
    </row>
    <row r="440" spans="3:41" x14ac:dyDescent="0.25">
      <c r="C440" s="22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  <c r="AA440" s="25"/>
      <c r="AB440" s="25"/>
      <c r="AC440" s="25"/>
      <c r="AD440" s="25"/>
      <c r="AE440" s="25"/>
      <c r="AF440" s="25"/>
      <c r="AG440" s="25"/>
      <c r="AH440" s="25"/>
      <c r="AI440" s="25"/>
      <c r="AJ440" s="25"/>
      <c r="AK440" s="25"/>
      <c r="AL440" s="25"/>
      <c r="AM440" s="25"/>
      <c r="AN440" s="25"/>
      <c r="AO440" s="26"/>
    </row>
    <row r="441" spans="3:41" x14ac:dyDescent="0.25">
      <c r="C441" s="22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  <c r="AA441" s="25"/>
      <c r="AB441" s="25"/>
      <c r="AC441" s="25"/>
      <c r="AD441" s="25"/>
      <c r="AE441" s="25"/>
      <c r="AF441" s="25"/>
      <c r="AG441" s="25"/>
      <c r="AH441" s="25"/>
      <c r="AI441" s="25"/>
      <c r="AJ441" s="25"/>
      <c r="AK441" s="25"/>
      <c r="AL441" s="25"/>
      <c r="AM441" s="25"/>
      <c r="AN441" s="25"/>
      <c r="AO441" s="26"/>
    </row>
    <row r="442" spans="3:41" x14ac:dyDescent="0.25">
      <c r="C442" s="22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  <c r="AA442" s="25"/>
      <c r="AB442" s="25"/>
      <c r="AC442" s="25"/>
      <c r="AD442" s="25"/>
      <c r="AE442" s="25"/>
      <c r="AF442" s="25"/>
      <c r="AG442" s="25"/>
      <c r="AH442" s="25"/>
      <c r="AI442" s="25"/>
      <c r="AJ442" s="25"/>
      <c r="AK442" s="25"/>
      <c r="AL442" s="25"/>
      <c r="AM442" s="25"/>
      <c r="AN442" s="25"/>
      <c r="AO442" s="26"/>
    </row>
    <row r="443" spans="3:41" x14ac:dyDescent="0.25">
      <c r="C443" s="22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  <c r="AA443" s="25"/>
      <c r="AB443" s="25"/>
      <c r="AC443" s="25"/>
      <c r="AD443" s="25"/>
      <c r="AE443" s="25"/>
      <c r="AF443" s="25"/>
      <c r="AG443" s="25"/>
      <c r="AH443" s="25"/>
      <c r="AI443" s="25"/>
      <c r="AJ443" s="25"/>
      <c r="AK443" s="25"/>
      <c r="AL443" s="25"/>
      <c r="AM443" s="25"/>
      <c r="AN443" s="25"/>
      <c r="AO443" s="26"/>
    </row>
    <row r="444" spans="3:41" x14ac:dyDescent="0.25">
      <c r="C444" s="22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  <c r="AA444" s="25"/>
      <c r="AB444" s="25"/>
      <c r="AC444" s="25"/>
      <c r="AD444" s="25"/>
      <c r="AE444" s="25"/>
      <c r="AF444" s="25"/>
      <c r="AG444" s="25"/>
      <c r="AH444" s="25"/>
      <c r="AI444" s="25"/>
      <c r="AJ444" s="25"/>
      <c r="AK444" s="25"/>
      <c r="AL444" s="25"/>
      <c r="AM444" s="25"/>
      <c r="AN444" s="25"/>
      <c r="AO444" s="26"/>
    </row>
    <row r="445" spans="3:41" x14ac:dyDescent="0.25">
      <c r="C445" s="22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  <c r="AA445" s="25"/>
      <c r="AB445" s="25"/>
      <c r="AC445" s="25"/>
      <c r="AD445" s="25"/>
      <c r="AE445" s="25"/>
      <c r="AF445" s="25"/>
      <c r="AG445" s="25"/>
      <c r="AH445" s="25"/>
      <c r="AI445" s="25"/>
      <c r="AJ445" s="25"/>
      <c r="AK445" s="25"/>
      <c r="AL445" s="25"/>
      <c r="AM445" s="25"/>
      <c r="AN445" s="25"/>
      <c r="AO445" s="26"/>
    </row>
    <row r="446" spans="3:41" x14ac:dyDescent="0.25">
      <c r="C446" s="22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  <c r="AA446" s="25"/>
      <c r="AB446" s="25"/>
      <c r="AC446" s="25"/>
      <c r="AD446" s="25"/>
      <c r="AE446" s="25"/>
      <c r="AF446" s="25"/>
      <c r="AG446" s="25"/>
      <c r="AH446" s="25"/>
      <c r="AI446" s="25"/>
      <c r="AJ446" s="25"/>
      <c r="AK446" s="25"/>
      <c r="AL446" s="25"/>
      <c r="AM446" s="25"/>
      <c r="AN446" s="25"/>
      <c r="AO446" s="26"/>
    </row>
    <row r="447" spans="3:41" x14ac:dyDescent="0.25">
      <c r="C447" s="22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  <c r="AA447" s="25"/>
      <c r="AB447" s="25"/>
      <c r="AC447" s="25"/>
      <c r="AD447" s="25"/>
      <c r="AE447" s="25"/>
      <c r="AF447" s="25"/>
      <c r="AG447" s="25"/>
      <c r="AH447" s="25"/>
      <c r="AI447" s="25"/>
      <c r="AJ447" s="25"/>
      <c r="AK447" s="25"/>
      <c r="AL447" s="25"/>
      <c r="AM447" s="25"/>
      <c r="AN447" s="25"/>
      <c r="AO447" s="26"/>
    </row>
    <row r="448" spans="3:41" x14ac:dyDescent="0.25">
      <c r="C448" s="22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  <c r="AA448" s="25"/>
      <c r="AB448" s="25"/>
      <c r="AC448" s="25"/>
      <c r="AD448" s="25"/>
      <c r="AE448" s="25"/>
      <c r="AF448" s="25"/>
      <c r="AG448" s="25"/>
      <c r="AH448" s="25"/>
      <c r="AI448" s="25"/>
      <c r="AJ448" s="25"/>
      <c r="AK448" s="25"/>
      <c r="AL448" s="25"/>
      <c r="AM448" s="25"/>
      <c r="AN448" s="25"/>
      <c r="AO448" s="26"/>
    </row>
    <row r="449" spans="3:41" x14ac:dyDescent="0.25">
      <c r="C449" s="22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  <c r="AA449" s="25"/>
      <c r="AB449" s="25"/>
      <c r="AC449" s="25"/>
      <c r="AD449" s="25"/>
      <c r="AE449" s="25"/>
      <c r="AF449" s="25"/>
      <c r="AG449" s="25"/>
      <c r="AH449" s="25"/>
      <c r="AI449" s="25"/>
      <c r="AJ449" s="25"/>
      <c r="AK449" s="25"/>
      <c r="AL449" s="25"/>
      <c r="AM449" s="25"/>
      <c r="AN449" s="25"/>
      <c r="AO449" s="26"/>
    </row>
    <row r="450" spans="3:41" x14ac:dyDescent="0.25">
      <c r="C450" s="22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  <c r="AA450" s="25"/>
      <c r="AB450" s="25"/>
      <c r="AC450" s="25"/>
      <c r="AD450" s="25"/>
      <c r="AE450" s="25"/>
      <c r="AF450" s="25"/>
      <c r="AG450" s="25"/>
      <c r="AH450" s="25"/>
      <c r="AI450" s="25"/>
      <c r="AJ450" s="25"/>
      <c r="AK450" s="25"/>
      <c r="AL450" s="25"/>
      <c r="AM450" s="25"/>
      <c r="AN450" s="25"/>
      <c r="AO450" s="26"/>
    </row>
    <row r="451" spans="3:41" x14ac:dyDescent="0.25">
      <c r="C451" s="22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  <c r="AA451" s="25"/>
      <c r="AB451" s="25"/>
      <c r="AC451" s="25"/>
      <c r="AD451" s="25"/>
      <c r="AE451" s="25"/>
      <c r="AF451" s="25"/>
      <c r="AG451" s="25"/>
      <c r="AH451" s="25"/>
      <c r="AI451" s="25"/>
      <c r="AJ451" s="25"/>
      <c r="AK451" s="25"/>
      <c r="AL451" s="25"/>
      <c r="AM451" s="25"/>
      <c r="AN451" s="25"/>
      <c r="AO451" s="26"/>
    </row>
    <row r="452" spans="3:41" x14ac:dyDescent="0.25">
      <c r="C452" s="22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  <c r="AA452" s="25"/>
      <c r="AB452" s="25"/>
      <c r="AC452" s="25"/>
      <c r="AD452" s="25"/>
      <c r="AE452" s="25"/>
      <c r="AF452" s="25"/>
      <c r="AG452" s="25"/>
      <c r="AH452" s="25"/>
      <c r="AI452" s="25"/>
      <c r="AJ452" s="25"/>
      <c r="AK452" s="25"/>
      <c r="AL452" s="25"/>
      <c r="AM452" s="25"/>
      <c r="AN452" s="25"/>
      <c r="AO452" s="26"/>
    </row>
    <row r="453" spans="3:41" x14ac:dyDescent="0.25">
      <c r="C453" s="22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  <c r="AA453" s="25"/>
      <c r="AB453" s="25"/>
      <c r="AC453" s="25"/>
      <c r="AD453" s="25"/>
      <c r="AE453" s="25"/>
      <c r="AF453" s="25"/>
      <c r="AG453" s="25"/>
      <c r="AH453" s="25"/>
      <c r="AI453" s="25"/>
      <c r="AJ453" s="25"/>
      <c r="AK453" s="25"/>
      <c r="AL453" s="25"/>
      <c r="AM453" s="25"/>
      <c r="AN453" s="25"/>
      <c r="AO453" s="26"/>
    </row>
    <row r="454" spans="3:41" x14ac:dyDescent="0.25">
      <c r="C454" s="22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  <c r="AA454" s="25"/>
      <c r="AB454" s="25"/>
      <c r="AC454" s="25"/>
      <c r="AD454" s="25"/>
      <c r="AE454" s="25"/>
      <c r="AF454" s="25"/>
      <c r="AG454" s="25"/>
      <c r="AH454" s="25"/>
      <c r="AI454" s="25"/>
      <c r="AJ454" s="25"/>
      <c r="AK454" s="25"/>
      <c r="AL454" s="25"/>
      <c r="AM454" s="25"/>
      <c r="AN454" s="25"/>
      <c r="AO454" s="26"/>
    </row>
    <row r="455" spans="3:41" x14ac:dyDescent="0.25">
      <c r="C455" s="22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  <c r="AA455" s="25"/>
      <c r="AB455" s="25"/>
      <c r="AC455" s="25"/>
      <c r="AD455" s="25"/>
      <c r="AE455" s="25"/>
      <c r="AF455" s="25"/>
      <c r="AG455" s="25"/>
      <c r="AH455" s="25"/>
      <c r="AI455" s="25"/>
      <c r="AJ455" s="25"/>
      <c r="AK455" s="25"/>
      <c r="AL455" s="25"/>
      <c r="AM455" s="25"/>
      <c r="AN455" s="25"/>
      <c r="AO455" s="26"/>
    </row>
    <row r="456" spans="3:41" x14ac:dyDescent="0.25">
      <c r="C456" s="22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  <c r="AA456" s="25"/>
      <c r="AB456" s="25"/>
      <c r="AC456" s="25"/>
      <c r="AD456" s="25"/>
      <c r="AE456" s="25"/>
      <c r="AF456" s="25"/>
      <c r="AG456" s="25"/>
      <c r="AH456" s="25"/>
      <c r="AI456" s="25"/>
      <c r="AJ456" s="25"/>
      <c r="AK456" s="25"/>
      <c r="AL456" s="25"/>
      <c r="AM456" s="25"/>
      <c r="AN456" s="25"/>
      <c r="AO456" s="26"/>
    </row>
    <row r="457" spans="3:41" x14ac:dyDescent="0.25">
      <c r="C457" s="22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  <c r="AA457" s="25"/>
      <c r="AB457" s="25"/>
      <c r="AC457" s="25"/>
      <c r="AD457" s="25"/>
      <c r="AE457" s="25"/>
      <c r="AF457" s="25"/>
      <c r="AG457" s="25"/>
      <c r="AH457" s="25"/>
      <c r="AI457" s="25"/>
      <c r="AJ457" s="25"/>
      <c r="AK457" s="25"/>
      <c r="AL457" s="25"/>
      <c r="AM457" s="25"/>
      <c r="AN457" s="25"/>
      <c r="AO457" s="26"/>
    </row>
    <row r="458" spans="3:41" x14ac:dyDescent="0.25">
      <c r="C458" s="22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  <c r="AA458" s="25"/>
      <c r="AB458" s="25"/>
      <c r="AC458" s="25"/>
      <c r="AD458" s="25"/>
      <c r="AE458" s="25"/>
      <c r="AF458" s="25"/>
      <c r="AG458" s="25"/>
      <c r="AH458" s="25"/>
      <c r="AI458" s="25"/>
      <c r="AJ458" s="25"/>
      <c r="AK458" s="25"/>
      <c r="AL458" s="25"/>
      <c r="AM458" s="25"/>
      <c r="AN458" s="25"/>
      <c r="AO458" s="26"/>
    </row>
    <row r="459" spans="3:41" x14ac:dyDescent="0.25">
      <c r="C459" s="22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  <c r="AA459" s="25"/>
      <c r="AB459" s="25"/>
      <c r="AC459" s="25"/>
      <c r="AD459" s="25"/>
      <c r="AE459" s="25"/>
      <c r="AF459" s="25"/>
      <c r="AG459" s="25"/>
      <c r="AH459" s="25"/>
      <c r="AI459" s="25"/>
      <c r="AJ459" s="25"/>
      <c r="AK459" s="25"/>
      <c r="AL459" s="25"/>
      <c r="AM459" s="25"/>
      <c r="AN459" s="25"/>
      <c r="AO459" s="26"/>
    </row>
    <row r="460" spans="3:41" x14ac:dyDescent="0.25">
      <c r="C460" s="22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  <c r="AA460" s="25"/>
      <c r="AB460" s="25"/>
      <c r="AC460" s="25"/>
      <c r="AD460" s="25"/>
      <c r="AE460" s="25"/>
      <c r="AF460" s="25"/>
      <c r="AG460" s="25"/>
      <c r="AH460" s="25"/>
      <c r="AI460" s="25"/>
      <c r="AJ460" s="25"/>
      <c r="AK460" s="25"/>
      <c r="AL460" s="25"/>
      <c r="AM460" s="25"/>
      <c r="AN460" s="25"/>
      <c r="AO460" s="26"/>
    </row>
    <row r="461" spans="3:41" x14ac:dyDescent="0.25">
      <c r="C461" s="22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  <c r="AA461" s="25"/>
      <c r="AB461" s="25"/>
      <c r="AC461" s="25"/>
      <c r="AD461" s="25"/>
      <c r="AE461" s="25"/>
      <c r="AF461" s="25"/>
      <c r="AG461" s="25"/>
      <c r="AH461" s="25"/>
      <c r="AI461" s="25"/>
      <c r="AJ461" s="25"/>
      <c r="AK461" s="25"/>
      <c r="AL461" s="25"/>
      <c r="AM461" s="25"/>
      <c r="AN461" s="25"/>
      <c r="AO461" s="26"/>
    </row>
    <row r="462" spans="3:41" x14ac:dyDescent="0.25">
      <c r="C462" s="22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  <c r="AA462" s="25"/>
      <c r="AB462" s="25"/>
      <c r="AC462" s="25"/>
      <c r="AD462" s="25"/>
      <c r="AE462" s="25"/>
      <c r="AF462" s="25"/>
      <c r="AG462" s="25"/>
      <c r="AH462" s="25"/>
      <c r="AI462" s="25"/>
      <c r="AJ462" s="25"/>
      <c r="AK462" s="25"/>
      <c r="AL462" s="25"/>
      <c r="AM462" s="25"/>
      <c r="AN462" s="25"/>
      <c r="AO462" s="26"/>
    </row>
    <row r="463" spans="3:41" x14ac:dyDescent="0.25">
      <c r="C463" s="22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  <c r="AA463" s="25"/>
      <c r="AB463" s="25"/>
      <c r="AC463" s="25"/>
      <c r="AD463" s="25"/>
      <c r="AE463" s="25"/>
      <c r="AF463" s="25"/>
      <c r="AG463" s="25"/>
      <c r="AH463" s="25"/>
      <c r="AI463" s="25"/>
      <c r="AJ463" s="25"/>
      <c r="AK463" s="25"/>
      <c r="AL463" s="25"/>
      <c r="AM463" s="25"/>
      <c r="AN463" s="25"/>
      <c r="AO463" s="26"/>
    </row>
    <row r="464" spans="3:41" x14ac:dyDescent="0.25">
      <c r="C464" s="22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  <c r="AA464" s="25"/>
      <c r="AB464" s="25"/>
      <c r="AC464" s="25"/>
      <c r="AD464" s="25"/>
      <c r="AE464" s="25"/>
      <c r="AF464" s="25"/>
      <c r="AG464" s="25"/>
      <c r="AH464" s="25"/>
      <c r="AI464" s="25"/>
      <c r="AJ464" s="25"/>
      <c r="AK464" s="25"/>
      <c r="AL464" s="25"/>
      <c r="AM464" s="25"/>
      <c r="AN464" s="25"/>
      <c r="AO464" s="26"/>
    </row>
    <row r="465" spans="3:41" x14ac:dyDescent="0.25">
      <c r="C465" s="22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  <c r="AA465" s="25"/>
      <c r="AB465" s="25"/>
      <c r="AC465" s="25"/>
      <c r="AD465" s="25"/>
      <c r="AE465" s="25"/>
      <c r="AF465" s="25"/>
      <c r="AG465" s="25"/>
      <c r="AH465" s="25"/>
      <c r="AI465" s="25"/>
      <c r="AJ465" s="25"/>
      <c r="AK465" s="25"/>
      <c r="AL465" s="25"/>
      <c r="AM465" s="25"/>
      <c r="AN465" s="25"/>
      <c r="AO465" s="26"/>
    </row>
    <row r="466" spans="3:41" x14ac:dyDescent="0.25">
      <c r="C466" s="22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  <c r="AA466" s="25"/>
      <c r="AB466" s="25"/>
      <c r="AC466" s="25"/>
      <c r="AD466" s="25"/>
      <c r="AE466" s="25"/>
      <c r="AF466" s="25"/>
      <c r="AG466" s="25"/>
      <c r="AH466" s="25"/>
      <c r="AI466" s="25"/>
      <c r="AJ466" s="25"/>
      <c r="AK466" s="25"/>
      <c r="AL466" s="25"/>
      <c r="AM466" s="25"/>
      <c r="AN466" s="25"/>
      <c r="AO466" s="26"/>
    </row>
    <row r="467" spans="3:41" x14ac:dyDescent="0.25">
      <c r="C467" s="22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  <c r="AA467" s="25"/>
      <c r="AB467" s="25"/>
      <c r="AC467" s="25"/>
      <c r="AD467" s="25"/>
      <c r="AE467" s="25"/>
      <c r="AF467" s="25"/>
      <c r="AG467" s="25"/>
      <c r="AH467" s="25"/>
      <c r="AI467" s="25"/>
      <c r="AJ467" s="25"/>
      <c r="AK467" s="25"/>
      <c r="AL467" s="25"/>
      <c r="AM467" s="25"/>
      <c r="AN467" s="25"/>
      <c r="AO467" s="26"/>
    </row>
    <row r="468" spans="3:41" x14ac:dyDescent="0.25">
      <c r="C468" s="22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  <c r="AA468" s="25"/>
      <c r="AB468" s="25"/>
      <c r="AC468" s="25"/>
      <c r="AD468" s="25"/>
      <c r="AE468" s="25"/>
      <c r="AF468" s="25"/>
      <c r="AG468" s="25"/>
      <c r="AH468" s="25"/>
      <c r="AI468" s="25"/>
      <c r="AJ468" s="25"/>
      <c r="AK468" s="25"/>
      <c r="AL468" s="25"/>
      <c r="AM468" s="25"/>
      <c r="AN468" s="25"/>
      <c r="AO468" s="26"/>
    </row>
    <row r="469" spans="3:41" x14ac:dyDescent="0.25">
      <c r="C469" s="22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  <c r="AA469" s="25"/>
      <c r="AB469" s="25"/>
      <c r="AC469" s="25"/>
      <c r="AD469" s="25"/>
      <c r="AE469" s="25"/>
      <c r="AF469" s="25"/>
      <c r="AG469" s="25"/>
      <c r="AH469" s="25"/>
      <c r="AI469" s="25"/>
      <c r="AJ469" s="25"/>
      <c r="AK469" s="25"/>
      <c r="AL469" s="25"/>
      <c r="AM469" s="25"/>
      <c r="AN469" s="25"/>
      <c r="AO469" s="26"/>
    </row>
    <row r="470" spans="3:41" x14ac:dyDescent="0.25">
      <c r="C470" s="22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  <c r="AA470" s="25"/>
      <c r="AB470" s="25"/>
      <c r="AC470" s="25"/>
      <c r="AD470" s="25"/>
      <c r="AE470" s="25"/>
      <c r="AF470" s="25"/>
      <c r="AG470" s="25"/>
      <c r="AH470" s="25"/>
      <c r="AI470" s="25"/>
      <c r="AJ470" s="25"/>
      <c r="AK470" s="25"/>
      <c r="AL470" s="25"/>
      <c r="AM470" s="25"/>
      <c r="AN470" s="25"/>
      <c r="AO470" s="26"/>
    </row>
    <row r="471" spans="3:41" x14ac:dyDescent="0.25">
      <c r="C471" s="22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  <c r="AA471" s="25"/>
      <c r="AB471" s="25"/>
      <c r="AC471" s="25"/>
      <c r="AD471" s="25"/>
      <c r="AE471" s="25"/>
      <c r="AF471" s="25"/>
      <c r="AG471" s="25"/>
      <c r="AH471" s="25"/>
      <c r="AI471" s="25"/>
      <c r="AJ471" s="25"/>
      <c r="AK471" s="25"/>
      <c r="AL471" s="25"/>
      <c r="AM471" s="25"/>
      <c r="AN471" s="25"/>
      <c r="AO471" s="26"/>
    </row>
    <row r="472" spans="3:41" x14ac:dyDescent="0.25">
      <c r="C472" s="22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  <c r="AA472" s="25"/>
      <c r="AB472" s="25"/>
      <c r="AC472" s="25"/>
      <c r="AD472" s="25"/>
      <c r="AE472" s="25"/>
      <c r="AF472" s="25"/>
      <c r="AG472" s="25"/>
      <c r="AH472" s="25"/>
      <c r="AI472" s="25"/>
      <c r="AJ472" s="25"/>
      <c r="AK472" s="25"/>
      <c r="AL472" s="25"/>
      <c r="AM472" s="25"/>
      <c r="AN472" s="25"/>
      <c r="AO472" s="26"/>
    </row>
    <row r="473" spans="3:41" x14ac:dyDescent="0.25">
      <c r="C473" s="22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  <c r="AA473" s="25"/>
      <c r="AB473" s="25"/>
      <c r="AC473" s="25"/>
      <c r="AD473" s="25"/>
      <c r="AE473" s="25"/>
      <c r="AF473" s="25"/>
      <c r="AG473" s="25"/>
      <c r="AH473" s="25"/>
      <c r="AI473" s="25"/>
      <c r="AJ473" s="25"/>
      <c r="AK473" s="25"/>
      <c r="AL473" s="25"/>
      <c r="AM473" s="25"/>
      <c r="AN473" s="25"/>
      <c r="AO473" s="26"/>
    </row>
    <row r="474" spans="3:41" x14ac:dyDescent="0.25">
      <c r="C474" s="22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  <c r="AA474" s="25"/>
      <c r="AB474" s="25"/>
      <c r="AC474" s="25"/>
      <c r="AD474" s="25"/>
      <c r="AE474" s="25"/>
      <c r="AF474" s="25"/>
      <c r="AG474" s="25"/>
      <c r="AH474" s="25"/>
      <c r="AI474" s="25"/>
      <c r="AJ474" s="25"/>
      <c r="AK474" s="25"/>
      <c r="AL474" s="25"/>
      <c r="AM474" s="25"/>
      <c r="AN474" s="25"/>
      <c r="AO474" s="26"/>
    </row>
    <row r="475" spans="3:41" x14ac:dyDescent="0.25">
      <c r="C475" s="22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  <c r="AA475" s="25"/>
      <c r="AB475" s="25"/>
      <c r="AC475" s="25"/>
      <c r="AD475" s="25"/>
      <c r="AE475" s="25"/>
      <c r="AF475" s="25"/>
      <c r="AG475" s="25"/>
      <c r="AH475" s="25"/>
      <c r="AI475" s="25"/>
      <c r="AJ475" s="25"/>
      <c r="AK475" s="25"/>
      <c r="AL475" s="25"/>
      <c r="AM475" s="25"/>
      <c r="AN475" s="25"/>
      <c r="AO475" s="26"/>
    </row>
    <row r="476" spans="3:41" x14ac:dyDescent="0.25">
      <c r="C476" s="22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  <c r="AA476" s="25"/>
      <c r="AB476" s="25"/>
      <c r="AC476" s="25"/>
      <c r="AD476" s="25"/>
      <c r="AE476" s="25"/>
      <c r="AF476" s="25"/>
      <c r="AG476" s="25"/>
      <c r="AH476" s="25"/>
      <c r="AI476" s="25"/>
      <c r="AJ476" s="25"/>
      <c r="AK476" s="25"/>
      <c r="AL476" s="25"/>
      <c r="AM476" s="25"/>
      <c r="AN476" s="25"/>
      <c r="AO476" s="26"/>
    </row>
    <row r="477" spans="3:41" x14ac:dyDescent="0.25">
      <c r="C477" s="22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  <c r="AA477" s="25"/>
      <c r="AB477" s="25"/>
      <c r="AC477" s="25"/>
      <c r="AD477" s="25"/>
      <c r="AE477" s="25"/>
      <c r="AF477" s="25"/>
      <c r="AG477" s="25"/>
      <c r="AH477" s="25"/>
      <c r="AI477" s="25"/>
      <c r="AJ477" s="25"/>
      <c r="AK477" s="25"/>
      <c r="AL477" s="25"/>
      <c r="AM477" s="25"/>
      <c r="AN477" s="25"/>
      <c r="AO477" s="26"/>
    </row>
    <row r="478" spans="3:41" x14ac:dyDescent="0.25">
      <c r="C478" s="22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  <c r="AA478" s="25"/>
      <c r="AB478" s="25"/>
      <c r="AC478" s="25"/>
      <c r="AD478" s="25"/>
      <c r="AE478" s="25"/>
      <c r="AF478" s="25"/>
      <c r="AG478" s="25"/>
      <c r="AH478" s="25"/>
      <c r="AI478" s="25"/>
      <c r="AJ478" s="25"/>
      <c r="AK478" s="25"/>
      <c r="AL478" s="25"/>
      <c r="AM478" s="25"/>
      <c r="AN478" s="25"/>
      <c r="AO478" s="26"/>
    </row>
    <row r="479" spans="3:41" x14ac:dyDescent="0.25">
      <c r="C479" s="22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  <c r="AA479" s="25"/>
      <c r="AB479" s="25"/>
      <c r="AC479" s="25"/>
      <c r="AD479" s="25"/>
      <c r="AE479" s="25"/>
      <c r="AF479" s="25"/>
      <c r="AG479" s="25"/>
      <c r="AH479" s="25"/>
      <c r="AI479" s="25"/>
      <c r="AJ479" s="25"/>
      <c r="AK479" s="25"/>
      <c r="AL479" s="25"/>
      <c r="AM479" s="25"/>
      <c r="AN479" s="25"/>
      <c r="AO479" s="26"/>
    </row>
    <row r="480" spans="3:41" x14ac:dyDescent="0.25">
      <c r="C480" s="22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  <c r="AA480" s="25"/>
      <c r="AB480" s="25"/>
      <c r="AC480" s="25"/>
      <c r="AD480" s="25"/>
      <c r="AE480" s="25"/>
      <c r="AF480" s="25"/>
      <c r="AG480" s="25"/>
      <c r="AH480" s="25"/>
      <c r="AI480" s="25"/>
      <c r="AJ480" s="25"/>
      <c r="AK480" s="25"/>
      <c r="AL480" s="25"/>
      <c r="AM480" s="25"/>
      <c r="AN480" s="25"/>
      <c r="AO480" s="26"/>
    </row>
    <row r="481" spans="3:41" x14ac:dyDescent="0.25">
      <c r="C481" s="22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  <c r="AA481" s="25"/>
      <c r="AB481" s="25"/>
      <c r="AC481" s="25"/>
      <c r="AD481" s="25"/>
      <c r="AE481" s="25"/>
      <c r="AF481" s="25"/>
      <c r="AG481" s="25"/>
      <c r="AH481" s="25"/>
      <c r="AI481" s="25"/>
      <c r="AJ481" s="25"/>
      <c r="AK481" s="25"/>
      <c r="AL481" s="25"/>
      <c r="AM481" s="25"/>
      <c r="AN481" s="25"/>
      <c r="AO481" s="26"/>
    </row>
    <row r="482" spans="3:41" x14ac:dyDescent="0.25">
      <c r="C482" s="22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  <c r="AA482" s="25"/>
      <c r="AB482" s="25"/>
      <c r="AC482" s="25"/>
      <c r="AD482" s="25"/>
      <c r="AE482" s="25"/>
      <c r="AF482" s="25"/>
      <c r="AG482" s="25"/>
      <c r="AH482" s="25"/>
      <c r="AI482" s="25"/>
      <c r="AJ482" s="25"/>
      <c r="AK482" s="25"/>
      <c r="AL482" s="25"/>
      <c r="AM482" s="25"/>
      <c r="AN482" s="25"/>
      <c r="AO482" s="26"/>
    </row>
    <row r="483" spans="3:41" x14ac:dyDescent="0.25">
      <c r="C483" s="22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  <c r="AA483" s="25"/>
      <c r="AB483" s="25"/>
      <c r="AC483" s="25"/>
      <c r="AD483" s="25"/>
      <c r="AE483" s="25"/>
      <c r="AF483" s="25"/>
      <c r="AG483" s="25"/>
      <c r="AH483" s="25"/>
      <c r="AI483" s="25"/>
      <c r="AJ483" s="25"/>
      <c r="AK483" s="25"/>
      <c r="AL483" s="25"/>
      <c r="AM483" s="25"/>
      <c r="AN483" s="25"/>
      <c r="AO483" s="26"/>
    </row>
    <row r="484" spans="3:41" x14ac:dyDescent="0.25">
      <c r="C484" s="22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  <c r="AA484" s="25"/>
      <c r="AB484" s="25"/>
      <c r="AC484" s="25"/>
      <c r="AD484" s="25"/>
      <c r="AE484" s="25"/>
      <c r="AF484" s="25"/>
      <c r="AG484" s="25"/>
      <c r="AH484" s="25"/>
      <c r="AI484" s="25"/>
      <c r="AJ484" s="25"/>
      <c r="AK484" s="25"/>
      <c r="AL484" s="25"/>
      <c r="AM484" s="25"/>
      <c r="AN484" s="25"/>
      <c r="AO484" s="26"/>
    </row>
    <row r="485" spans="3:41" x14ac:dyDescent="0.25">
      <c r="C485" s="22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  <c r="AA485" s="25"/>
      <c r="AB485" s="25"/>
      <c r="AC485" s="25"/>
      <c r="AD485" s="25"/>
      <c r="AE485" s="25"/>
      <c r="AF485" s="25"/>
      <c r="AG485" s="25"/>
      <c r="AH485" s="25"/>
      <c r="AI485" s="25"/>
      <c r="AJ485" s="25"/>
      <c r="AK485" s="25"/>
      <c r="AL485" s="25"/>
      <c r="AM485" s="25"/>
      <c r="AN485" s="25"/>
      <c r="AO485" s="26"/>
    </row>
    <row r="486" spans="3:41" x14ac:dyDescent="0.25">
      <c r="C486" s="22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  <c r="AA486" s="25"/>
      <c r="AB486" s="25"/>
      <c r="AC486" s="25"/>
      <c r="AD486" s="25"/>
      <c r="AE486" s="25"/>
      <c r="AF486" s="25"/>
      <c r="AG486" s="25"/>
      <c r="AH486" s="25"/>
      <c r="AI486" s="25"/>
      <c r="AJ486" s="25"/>
      <c r="AK486" s="25"/>
      <c r="AL486" s="25"/>
      <c r="AM486" s="25"/>
      <c r="AN486" s="25"/>
      <c r="AO486" s="26"/>
    </row>
    <row r="487" spans="3:41" x14ac:dyDescent="0.25">
      <c r="C487" s="22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  <c r="AA487" s="25"/>
      <c r="AB487" s="25"/>
      <c r="AC487" s="25"/>
      <c r="AD487" s="25"/>
      <c r="AE487" s="25"/>
      <c r="AF487" s="25"/>
      <c r="AG487" s="25"/>
      <c r="AH487" s="25"/>
      <c r="AI487" s="25"/>
      <c r="AJ487" s="25"/>
      <c r="AK487" s="25"/>
      <c r="AL487" s="25"/>
      <c r="AM487" s="25"/>
      <c r="AN487" s="25"/>
      <c r="AO487" s="26"/>
    </row>
    <row r="488" spans="3:41" x14ac:dyDescent="0.25">
      <c r="C488" s="22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  <c r="AA488" s="25"/>
      <c r="AB488" s="25"/>
      <c r="AC488" s="25"/>
      <c r="AD488" s="25"/>
      <c r="AE488" s="25"/>
      <c r="AF488" s="25"/>
      <c r="AG488" s="25"/>
      <c r="AH488" s="25"/>
      <c r="AI488" s="25"/>
      <c r="AJ488" s="25"/>
      <c r="AK488" s="25"/>
      <c r="AL488" s="25"/>
      <c r="AM488" s="25"/>
      <c r="AN488" s="25"/>
      <c r="AO488" s="26"/>
    </row>
    <row r="489" spans="3:41" x14ac:dyDescent="0.25">
      <c r="C489" s="22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  <c r="AA489" s="25"/>
      <c r="AB489" s="25"/>
      <c r="AC489" s="25"/>
      <c r="AD489" s="25"/>
      <c r="AE489" s="25"/>
      <c r="AF489" s="25"/>
      <c r="AG489" s="25"/>
      <c r="AH489" s="25"/>
      <c r="AI489" s="25"/>
      <c r="AJ489" s="25"/>
      <c r="AK489" s="25"/>
      <c r="AL489" s="25"/>
      <c r="AM489" s="25"/>
      <c r="AN489" s="25"/>
      <c r="AO489" s="26"/>
    </row>
    <row r="490" spans="3:41" x14ac:dyDescent="0.25">
      <c r="C490" s="22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  <c r="AA490" s="25"/>
      <c r="AB490" s="25"/>
      <c r="AC490" s="25"/>
      <c r="AD490" s="25"/>
      <c r="AE490" s="25"/>
      <c r="AF490" s="25"/>
      <c r="AG490" s="25"/>
      <c r="AH490" s="25"/>
      <c r="AI490" s="25"/>
      <c r="AJ490" s="25"/>
      <c r="AK490" s="25"/>
      <c r="AL490" s="25"/>
      <c r="AM490" s="25"/>
      <c r="AN490" s="25"/>
      <c r="AO490" s="26"/>
    </row>
    <row r="491" spans="3:41" x14ac:dyDescent="0.25">
      <c r="C491" s="22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  <c r="AA491" s="25"/>
      <c r="AB491" s="25"/>
      <c r="AC491" s="25"/>
      <c r="AD491" s="25"/>
      <c r="AE491" s="25"/>
      <c r="AF491" s="25"/>
      <c r="AG491" s="25"/>
      <c r="AH491" s="25"/>
      <c r="AI491" s="25"/>
      <c r="AJ491" s="25"/>
      <c r="AK491" s="25"/>
      <c r="AL491" s="25"/>
      <c r="AM491" s="25"/>
      <c r="AN491" s="25"/>
      <c r="AO491" s="26"/>
    </row>
    <row r="492" spans="3:41" x14ac:dyDescent="0.25">
      <c r="C492" s="22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  <c r="AA492" s="25"/>
      <c r="AB492" s="25"/>
      <c r="AC492" s="25"/>
      <c r="AD492" s="25"/>
      <c r="AE492" s="25"/>
      <c r="AF492" s="25"/>
      <c r="AG492" s="25"/>
      <c r="AH492" s="25"/>
      <c r="AI492" s="25"/>
      <c r="AJ492" s="25"/>
      <c r="AK492" s="25"/>
      <c r="AL492" s="25"/>
      <c r="AM492" s="25"/>
      <c r="AN492" s="25"/>
      <c r="AO492" s="26"/>
    </row>
    <row r="493" spans="3:41" x14ac:dyDescent="0.25">
      <c r="C493" s="22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  <c r="AA493" s="25"/>
      <c r="AB493" s="25"/>
      <c r="AC493" s="25"/>
      <c r="AD493" s="25"/>
      <c r="AE493" s="25"/>
      <c r="AF493" s="25"/>
      <c r="AG493" s="25"/>
      <c r="AH493" s="25"/>
      <c r="AI493" s="25"/>
      <c r="AJ493" s="25"/>
      <c r="AK493" s="25"/>
      <c r="AL493" s="25"/>
      <c r="AM493" s="25"/>
      <c r="AN493" s="25"/>
      <c r="AO493" s="26"/>
    </row>
    <row r="494" spans="3:41" x14ac:dyDescent="0.25">
      <c r="C494" s="22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  <c r="AA494" s="25"/>
      <c r="AB494" s="25"/>
      <c r="AC494" s="25"/>
      <c r="AD494" s="25"/>
      <c r="AE494" s="25"/>
      <c r="AF494" s="25"/>
      <c r="AG494" s="25"/>
      <c r="AH494" s="25"/>
      <c r="AI494" s="25"/>
      <c r="AJ494" s="25"/>
      <c r="AK494" s="25"/>
      <c r="AL494" s="25"/>
      <c r="AM494" s="25"/>
      <c r="AN494" s="25"/>
      <c r="AO494" s="26"/>
    </row>
    <row r="495" spans="3:41" x14ac:dyDescent="0.25">
      <c r="C495" s="22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  <c r="AA495" s="25"/>
      <c r="AB495" s="25"/>
      <c r="AC495" s="25"/>
      <c r="AD495" s="25"/>
      <c r="AE495" s="25"/>
      <c r="AF495" s="25"/>
      <c r="AG495" s="25"/>
      <c r="AH495" s="25"/>
      <c r="AI495" s="25"/>
      <c r="AJ495" s="25"/>
      <c r="AK495" s="25"/>
      <c r="AL495" s="25"/>
      <c r="AM495" s="25"/>
      <c r="AN495" s="25"/>
      <c r="AO495" s="26"/>
    </row>
    <row r="496" spans="3:41" x14ac:dyDescent="0.25">
      <c r="C496" s="22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  <c r="AA496" s="25"/>
      <c r="AB496" s="25"/>
      <c r="AC496" s="25"/>
      <c r="AD496" s="25"/>
      <c r="AE496" s="25"/>
      <c r="AF496" s="25"/>
      <c r="AG496" s="25"/>
      <c r="AH496" s="25"/>
      <c r="AI496" s="25"/>
      <c r="AJ496" s="25"/>
      <c r="AK496" s="25"/>
      <c r="AL496" s="25"/>
      <c r="AM496" s="25"/>
      <c r="AN496" s="25"/>
      <c r="AO496" s="26"/>
    </row>
    <row r="497" spans="3:41" x14ac:dyDescent="0.25">
      <c r="C497" s="22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  <c r="AA497" s="25"/>
      <c r="AB497" s="25"/>
      <c r="AC497" s="25"/>
      <c r="AD497" s="25"/>
      <c r="AE497" s="25"/>
      <c r="AF497" s="25"/>
      <c r="AG497" s="25"/>
      <c r="AH497" s="25"/>
      <c r="AI497" s="25"/>
      <c r="AJ497" s="25"/>
      <c r="AK497" s="25"/>
      <c r="AL497" s="25"/>
      <c r="AM497" s="25"/>
      <c r="AN497" s="25"/>
      <c r="AO497" s="26"/>
    </row>
    <row r="498" spans="3:41" x14ac:dyDescent="0.25">
      <c r="C498" s="22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  <c r="AA498" s="25"/>
      <c r="AB498" s="25"/>
      <c r="AC498" s="25"/>
      <c r="AD498" s="25"/>
      <c r="AE498" s="25"/>
      <c r="AF498" s="25"/>
      <c r="AG498" s="25"/>
      <c r="AH498" s="25"/>
      <c r="AI498" s="25"/>
      <c r="AJ498" s="25"/>
      <c r="AK498" s="25"/>
      <c r="AL498" s="25"/>
      <c r="AM498" s="25"/>
      <c r="AN498" s="25"/>
      <c r="AO498" s="26"/>
    </row>
    <row r="499" spans="3:41" x14ac:dyDescent="0.25">
      <c r="C499" s="22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  <c r="AA499" s="25"/>
      <c r="AB499" s="25"/>
      <c r="AC499" s="25"/>
      <c r="AD499" s="25"/>
      <c r="AE499" s="25"/>
      <c r="AF499" s="25"/>
      <c r="AG499" s="25"/>
      <c r="AH499" s="25"/>
      <c r="AI499" s="25"/>
      <c r="AJ499" s="25"/>
      <c r="AK499" s="25"/>
      <c r="AL499" s="25"/>
      <c r="AM499" s="25"/>
      <c r="AN499" s="25"/>
      <c r="AO499" s="26"/>
    </row>
    <row r="500" spans="3:41" x14ac:dyDescent="0.25">
      <c r="C500" s="22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  <c r="AA500" s="25"/>
      <c r="AB500" s="25"/>
      <c r="AC500" s="25"/>
      <c r="AD500" s="25"/>
      <c r="AE500" s="25"/>
      <c r="AF500" s="25"/>
      <c r="AG500" s="25"/>
      <c r="AH500" s="25"/>
      <c r="AI500" s="25"/>
      <c r="AJ500" s="25"/>
      <c r="AK500" s="25"/>
      <c r="AL500" s="25"/>
      <c r="AM500" s="25"/>
      <c r="AN500" s="25"/>
      <c r="AO500" s="26"/>
    </row>
    <row r="501" spans="3:41" x14ac:dyDescent="0.25">
      <c r="C501" s="22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  <c r="AA501" s="25"/>
      <c r="AB501" s="25"/>
      <c r="AC501" s="25"/>
      <c r="AD501" s="25"/>
      <c r="AE501" s="25"/>
      <c r="AF501" s="25"/>
      <c r="AG501" s="25"/>
      <c r="AH501" s="25"/>
      <c r="AI501" s="25"/>
      <c r="AJ501" s="25"/>
      <c r="AK501" s="25"/>
      <c r="AL501" s="25"/>
      <c r="AM501" s="25"/>
      <c r="AN501" s="25"/>
      <c r="AO501" s="26"/>
    </row>
    <row r="502" spans="3:41" x14ac:dyDescent="0.25">
      <c r="C502" s="22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  <c r="AA502" s="25"/>
      <c r="AB502" s="25"/>
      <c r="AC502" s="25"/>
      <c r="AD502" s="25"/>
      <c r="AE502" s="25"/>
      <c r="AF502" s="25"/>
      <c r="AG502" s="25"/>
      <c r="AH502" s="25"/>
      <c r="AI502" s="25"/>
      <c r="AJ502" s="25"/>
      <c r="AK502" s="25"/>
      <c r="AL502" s="25"/>
      <c r="AM502" s="25"/>
      <c r="AN502" s="25"/>
      <c r="AO502" s="26"/>
    </row>
    <row r="503" spans="3:41" x14ac:dyDescent="0.25">
      <c r="C503" s="22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  <c r="AA503" s="25"/>
      <c r="AB503" s="25"/>
      <c r="AC503" s="25"/>
      <c r="AD503" s="25"/>
      <c r="AE503" s="25"/>
      <c r="AF503" s="25"/>
      <c r="AG503" s="25"/>
      <c r="AH503" s="25"/>
      <c r="AI503" s="25"/>
      <c r="AJ503" s="25"/>
      <c r="AK503" s="25"/>
      <c r="AL503" s="25"/>
      <c r="AM503" s="25"/>
      <c r="AN503" s="25"/>
      <c r="AO503" s="26"/>
    </row>
    <row r="504" spans="3:41" x14ac:dyDescent="0.25">
      <c r="C504" s="22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  <c r="AA504" s="25"/>
      <c r="AB504" s="25"/>
      <c r="AC504" s="25"/>
      <c r="AD504" s="25"/>
      <c r="AE504" s="25"/>
      <c r="AF504" s="25"/>
      <c r="AG504" s="25"/>
      <c r="AH504" s="25"/>
      <c r="AI504" s="25"/>
      <c r="AJ504" s="25"/>
      <c r="AK504" s="25"/>
      <c r="AL504" s="25"/>
      <c r="AM504" s="25"/>
      <c r="AN504" s="25"/>
      <c r="AO504" s="26"/>
    </row>
    <row r="505" spans="3:41" x14ac:dyDescent="0.25">
      <c r="C505" s="22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  <c r="AA505" s="25"/>
      <c r="AB505" s="25"/>
      <c r="AC505" s="25"/>
      <c r="AD505" s="25"/>
      <c r="AE505" s="25"/>
      <c r="AF505" s="25"/>
      <c r="AG505" s="25"/>
      <c r="AH505" s="25"/>
      <c r="AI505" s="25"/>
      <c r="AJ505" s="25"/>
      <c r="AK505" s="25"/>
      <c r="AL505" s="25"/>
      <c r="AM505" s="25"/>
      <c r="AN505" s="25"/>
      <c r="AO505" s="26"/>
    </row>
    <row r="506" spans="3:41" x14ac:dyDescent="0.25">
      <c r="C506" s="22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  <c r="AA506" s="25"/>
      <c r="AB506" s="25"/>
      <c r="AC506" s="25"/>
      <c r="AD506" s="25"/>
      <c r="AE506" s="25"/>
      <c r="AF506" s="25"/>
      <c r="AG506" s="25"/>
      <c r="AH506" s="25"/>
      <c r="AI506" s="25"/>
      <c r="AJ506" s="25"/>
      <c r="AK506" s="25"/>
      <c r="AL506" s="25"/>
      <c r="AM506" s="25"/>
      <c r="AN506" s="25"/>
      <c r="AO506" s="26"/>
    </row>
    <row r="507" spans="3:41" x14ac:dyDescent="0.25">
      <c r="C507" s="22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  <c r="AA507" s="25"/>
      <c r="AB507" s="25"/>
      <c r="AC507" s="25"/>
      <c r="AD507" s="25"/>
      <c r="AE507" s="25"/>
      <c r="AF507" s="25"/>
      <c r="AG507" s="25"/>
      <c r="AH507" s="25"/>
      <c r="AI507" s="25"/>
      <c r="AJ507" s="25"/>
      <c r="AK507" s="25"/>
      <c r="AL507" s="25"/>
      <c r="AM507" s="25"/>
      <c r="AN507" s="25"/>
      <c r="AO507" s="26"/>
    </row>
    <row r="508" spans="3:41" x14ac:dyDescent="0.25">
      <c r="C508" s="22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  <c r="AA508" s="25"/>
      <c r="AB508" s="25"/>
      <c r="AC508" s="25"/>
      <c r="AD508" s="25"/>
      <c r="AE508" s="25"/>
      <c r="AF508" s="25"/>
      <c r="AG508" s="25"/>
      <c r="AH508" s="25"/>
      <c r="AI508" s="25"/>
      <c r="AJ508" s="25"/>
      <c r="AK508" s="25"/>
      <c r="AL508" s="25"/>
      <c r="AM508" s="25"/>
      <c r="AN508" s="25"/>
      <c r="AO508" s="26"/>
    </row>
    <row r="509" spans="3:41" x14ac:dyDescent="0.25">
      <c r="C509" s="22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  <c r="AA509" s="25"/>
      <c r="AB509" s="25"/>
      <c r="AC509" s="25"/>
      <c r="AD509" s="25"/>
      <c r="AE509" s="25"/>
      <c r="AF509" s="25"/>
      <c r="AG509" s="25"/>
      <c r="AH509" s="25"/>
      <c r="AI509" s="25"/>
      <c r="AJ509" s="25"/>
      <c r="AK509" s="25"/>
      <c r="AL509" s="25"/>
      <c r="AM509" s="25"/>
      <c r="AN509" s="25"/>
      <c r="AO509" s="26"/>
    </row>
    <row r="510" spans="3:41" x14ac:dyDescent="0.25">
      <c r="C510" s="22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  <c r="AA510" s="25"/>
      <c r="AB510" s="25"/>
      <c r="AC510" s="25"/>
      <c r="AD510" s="25"/>
      <c r="AE510" s="25"/>
      <c r="AF510" s="25"/>
      <c r="AG510" s="25"/>
      <c r="AH510" s="25"/>
      <c r="AI510" s="25"/>
      <c r="AJ510" s="25"/>
      <c r="AK510" s="25"/>
      <c r="AL510" s="25"/>
      <c r="AM510" s="25"/>
      <c r="AN510" s="25"/>
      <c r="AO510" s="26"/>
    </row>
    <row r="511" spans="3:41" x14ac:dyDescent="0.25">
      <c r="C511" s="22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  <c r="AA511" s="25"/>
      <c r="AB511" s="25"/>
      <c r="AC511" s="25"/>
      <c r="AD511" s="25"/>
      <c r="AE511" s="25"/>
      <c r="AF511" s="25"/>
      <c r="AG511" s="25"/>
      <c r="AH511" s="25"/>
      <c r="AI511" s="25"/>
      <c r="AJ511" s="25"/>
      <c r="AK511" s="25"/>
      <c r="AL511" s="25"/>
      <c r="AM511" s="25"/>
      <c r="AN511" s="25"/>
      <c r="AO511" s="26"/>
    </row>
    <row r="512" spans="3:41" x14ac:dyDescent="0.25">
      <c r="C512" s="22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  <c r="AA512" s="25"/>
      <c r="AB512" s="25"/>
      <c r="AC512" s="25"/>
      <c r="AD512" s="25"/>
      <c r="AE512" s="25"/>
      <c r="AF512" s="25"/>
      <c r="AG512" s="25"/>
      <c r="AH512" s="25"/>
      <c r="AI512" s="25"/>
      <c r="AJ512" s="25"/>
      <c r="AK512" s="25"/>
      <c r="AL512" s="25"/>
      <c r="AM512" s="25"/>
      <c r="AN512" s="25"/>
      <c r="AO512" s="26"/>
    </row>
    <row r="513" spans="3:41" x14ac:dyDescent="0.25">
      <c r="C513" s="22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  <c r="AA513" s="25"/>
      <c r="AB513" s="25"/>
      <c r="AC513" s="25"/>
      <c r="AD513" s="25"/>
      <c r="AE513" s="25"/>
      <c r="AF513" s="25"/>
      <c r="AG513" s="25"/>
      <c r="AH513" s="25"/>
      <c r="AI513" s="25"/>
      <c r="AJ513" s="25"/>
      <c r="AK513" s="25"/>
      <c r="AL513" s="25"/>
      <c r="AM513" s="25"/>
      <c r="AN513" s="25"/>
      <c r="AO513" s="26"/>
    </row>
    <row r="514" spans="3:41" x14ac:dyDescent="0.25">
      <c r="C514" s="22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  <c r="AA514" s="25"/>
      <c r="AB514" s="25"/>
      <c r="AC514" s="25"/>
      <c r="AD514" s="25"/>
      <c r="AE514" s="25"/>
      <c r="AF514" s="25"/>
      <c r="AG514" s="25"/>
      <c r="AH514" s="25"/>
      <c r="AI514" s="25"/>
      <c r="AJ514" s="25"/>
      <c r="AK514" s="25"/>
      <c r="AL514" s="25"/>
      <c r="AM514" s="25"/>
      <c r="AN514" s="25"/>
      <c r="AO514" s="26"/>
    </row>
    <row r="515" spans="3:41" x14ac:dyDescent="0.25">
      <c r="C515" s="22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  <c r="AA515" s="25"/>
      <c r="AB515" s="25"/>
      <c r="AC515" s="25"/>
      <c r="AD515" s="25"/>
      <c r="AE515" s="25"/>
      <c r="AF515" s="25"/>
      <c r="AG515" s="25"/>
      <c r="AH515" s="25"/>
      <c r="AI515" s="25"/>
      <c r="AJ515" s="25"/>
      <c r="AK515" s="25"/>
      <c r="AL515" s="25"/>
      <c r="AM515" s="25"/>
      <c r="AN515" s="25"/>
      <c r="AO515" s="26"/>
    </row>
    <row r="516" spans="3:41" x14ac:dyDescent="0.25">
      <c r="C516" s="22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  <c r="AA516" s="25"/>
      <c r="AB516" s="25"/>
      <c r="AC516" s="25"/>
      <c r="AD516" s="25"/>
      <c r="AE516" s="25"/>
      <c r="AF516" s="25"/>
      <c r="AG516" s="25"/>
      <c r="AH516" s="25"/>
      <c r="AI516" s="25"/>
      <c r="AJ516" s="25"/>
      <c r="AK516" s="25"/>
      <c r="AL516" s="25"/>
      <c r="AM516" s="25"/>
      <c r="AN516" s="25"/>
      <c r="AO516" s="26"/>
    </row>
    <row r="517" spans="3:41" x14ac:dyDescent="0.25">
      <c r="C517" s="22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  <c r="AA517" s="25"/>
      <c r="AB517" s="25"/>
      <c r="AC517" s="25"/>
      <c r="AD517" s="25"/>
      <c r="AE517" s="25"/>
      <c r="AF517" s="25"/>
      <c r="AG517" s="25"/>
      <c r="AH517" s="25"/>
      <c r="AI517" s="25"/>
      <c r="AJ517" s="25"/>
      <c r="AK517" s="25"/>
      <c r="AL517" s="25"/>
      <c r="AM517" s="25"/>
      <c r="AN517" s="25"/>
      <c r="AO517" s="26"/>
    </row>
    <row r="518" spans="3:41" x14ac:dyDescent="0.25">
      <c r="C518" s="22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  <c r="AA518" s="25"/>
      <c r="AB518" s="25"/>
      <c r="AC518" s="25"/>
      <c r="AD518" s="25"/>
      <c r="AE518" s="25"/>
      <c r="AF518" s="25"/>
      <c r="AG518" s="25"/>
      <c r="AH518" s="25"/>
      <c r="AI518" s="25"/>
      <c r="AJ518" s="25"/>
      <c r="AK518" s="25"/>
      <c r="AL518" s="25"/>
      <c r="AM518" s="25"/>
      <c r="AN518" s="25"/>
      <c r="AO518" s="26"/>
    </row>
    <row r="519" spans="3:41" x14ac:dyDescent="0.25">
      <c r="C519" s="22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  <c r="AA519" s="25"/>
      <c r="AB519" s="25"/>
      <c r="AC519" s="25"/>
      <c r="AD519" s="25"/>
      <c r="AE519" s="25"/>
      <c r="AF519" s="25"/>
      <c r="AG519" s="25"/>
      <c r="AH519" s="25"/>
      <c r="AI519" s="25"/>
      <c r="AJ519" s="25"/>
      <c r="AK519" s="25"/>
      <c r="AL519" s="25"/>
      <c r="AM519" s="25"/>
      <c r="AN519" s="25"/>
      <c r="AO519" s="26"/>
    </row>
    <row r="520" spans="3:41" x14ac:dyDescent="0.25">
      <c r="C520" s="22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  <c r="AA520" s="25"/>
      <c r="AB520" s="25"/>
      <c r="AC520" s="25"/>
      <c r="AD520" s="25"/>
      <c r="AE520" s="25"/>
      <c r="AF520" s="25"/>
      <c r="AG520" s="25"/>
      <c r="AH520" s="25"/>
      <c r="AI520" s="25"/>
      <c r="AJ520" s="25"/>
      <c r="AK520" s="25"/>
      <c r="AL520" s="25"/>
      <c r="AM520" s="25"/>
      <c r="AN520" s="25"/>
      <c r="AO520" s="26"/>
    </row>
    <row r="521" spans="3:41" x14ac:dyDescent="0.25">
      <c r="C521" s="22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  <c r="AA521" s="25"/>
      <c r="AB521" s="25"/>
      <c r="AC521" s="25"/>
      <c r="AD521" s="25"/>
      <c r="AE521" s="25"/>
      <c r="AF521" s="25"/>
      <c r="AG521" s="25"/>
      <c r="AH521" s="25"/>
      <c r="AI521" s="25"/>
      <c r="AJ521" s="25"/>
      <c r="AK521" s="25"/>
      <c r="AL521" s="25"/>
      <c r="AM521" s="25"/>
      <c r="AN521" s="25"/>
      <c r="AO521" s="26"/>
    </row>
    <row r="522" spans="3:41" x14ac:dyDescent="0.25">
      <c r="C522" s="22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  <c r="AA522" s="25"/>
      <c r="AB522" s="25"/>
      <c r="AC522" s="25"/>
      <c r="AD522" s="25"/>
      <c r="AE522" s="25"/>
      <c r="AF522" s="25"/>
      <c r="AG522" s="25"/>
      <c r="AH522" s="25"/>
      <c r="AI522" s="25"/>
      <c r="AJ522" s="25"/>
      <c r="AK522" s="25"/>
      <c r="AL522" s="25"/>
      <c r="AM522" s="25"/>
      <c r="AN522" s="25"/>
      <c r="AO522" s="26"/>
    </row>
    <row r="523" spans="3:41" x14ac:dyDescent="0.25">
      <c r="C523" s="22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  <c r="AA523" s="25"/>
      <c r="AB523" s="25"/>
      <c r="AC523" s="25"/>
      <c r="AD523" s="25"/>
      <c r="AE523" s="25"/>
      <c r="AF523" s="25"/>
      <c r="AG523" s="25"/>
      <c r="AH523" s="25"/>
      <c r="AI523" s="25"/>
      <c r="AJ523" s="25"/>
      <c r="AK523" s="25"/>
      <c r="AL523" s="25"/>
      <c r="AM523" s="25"/>
      <c r="AN523" s="25"/>
      <c r="AO523" s="26"/>
    </row>
    <row r="524" spans="3:41" x14ac:dyDescent="0.25">
      <c r="C524" s="22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  <c r="AA524" s="25"/>
      <c r="AB524" s="25"/>
      <c r="AC524" s="25"/>
      <c r="AD524" s="25"/>
      <c r="AE524" s="25"/>
      <c r="AF524" s="25"/>
      <c r="AG524" s="25"/>
      <c r="AH524" s="25"/>
      <c r="AI524" s="25"/>
      <c r="AJ524" s="25"/>
      <c r="AK524" s="25"/>
      <c r="AL524" s="25"/>
      <c r="AM524" s="25"/>
      <c r="AN524" s="25"/>
      <c r="AO524" s="26"/>
    </row>
    <row r="525" spans="3:41" x14ac:dyDescent="0.25">
      <c r="C525" s="22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  <c r="AA525" s="25"/>
      <c r="AB525" s="25"/>
      <c r="AC525" s="25"/>
      <c r="AD525" s="25"/>
      <c r="AE525" s="25"/>
      <c r="AF525" s="25"/>
      <c r="AG525" s="25"/>
      <c r="AH525" s="25"/>
      <c r="AI525" s="25"/>
      <c r="AJ525" s="25"/>
      <c r="AK525" s="25"/>
      <c r="AL525" s="25"/>
      <c r="AM525" s="25"/>
      <c r="AN525" s="25"/>
      <c r="AO525" s="26"/>
    </row>
    <row r="526" spans="3:41" x14ac:dyDescent="0.25">
      <c r="C526" s="22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  <c r="AA526" s="25"/>
      <c r="AB526" s="25"/>
      <c r="AC526" s="25"/>
      <c r="AD526" s="25"/>
      <c r="AE526" s="25"/>
      <c r="AF526" s="25"/>
      <c r="AG526" s="25"/>
      <c r="AH526" s="25"/>
      <c r="AI526" s="25"/>
      <c r="AJ526" s="25"/>
      <c r="AK526" s="25"/>
      <c r="AL526" s="25"/>
      <c r="AM526" s="25"/>
      <c r="AN526" s="25"/>
      <c r="AO526" s="26"/>
    </row>
    <row r="527" spans="3:41" x14ac:dyDescent="0.25">
      <c r="C527" s="22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  <c r="AA527" s="25"/>
      <c r="AB527" s="25"/>
      <c r="AC527" s="25"/>
      <c r="AD527" s="25"/>
      <c r="AE527" s="25"/>
      <c r="AF527" s="25"/>
      <c r="AG527" s="25"/>
      <c r="AH527" s="25"/>
      <c r="AI527" s="25"/>
      <c r="AJ527" s="25"/>
      <c r="AK527" s="25"/>
      <c r="AL527" s="25"/>
      <c r="AM527" s="25"/>
      <c r="AN527" s="25"/>
      <c r="AO527" s="26"/>
    </row>
    <row r="528" spans="3:41" x14ac:dyDescent="0.25">
      <c r="C528" s="22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  <c r="AA528" s="25"/>
      <c r="AB528" s="25"/>
      <c r="AC528" s="25"/>
      <c r="AD528" s="25"/>
      <c r="AE528" s="25"/>
      <c r="AF528" s="25"/>
      <c r="AG528" s="25"/>
      <c r="AH528" s="25"/>
      <c r="AI528" s="25"/>
      <c r="AJ528" s="25"/>
      <c r="AK528" s="25"/>
      <c r="AL528" s="25"/>
      <c r="AM528" s="25"/>
      <c r="AN528" s="25"/>
      <c r="AO528" s="26"/>
    </row>
    <row r="529" spans="3:41" x14ac:dyDescent="0.25">
      <c r="C529" s="22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  <c r="AA529" s="25"/>
      <c r="AB529" s="25"/>
      <c r="AC529" s="25"/>
      <c r="AD529" s="25"/>
      <c r="AE529" s="25"/>
      <c r="AF529" s="25"/>
      <c r="AG529" s="25"/>
      <c r="AH529" s="25"/>
      <c r="AI529" s="25"/>
      <c r="AJ529" s="25"/>
      <c r="AK529" s="25"/>
      <c r="AL529" s="25"/>
      <c r="AM529" s="25"/>
      <c r="AN529" s="25"/>
      <c r="AO529" s="26"/>
    </row>
    <row r="530" spans="3:41" x14ac:dyDescent="0.25">
      <c r="C530" s="22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  <c r="AA530" s="25"/>
      <c r="AB530" s="25"/>
      <c r="AC530" s="25"/>
      <c r="AD530" s="25"/>
      <c r="AE530" s="25"/>
      <c r="AF530" s="25"/>
      <c r="AG530" s="25"/>
      <c r="AH530" s="25"/>
      <c r="AI530" s="25"/>
      <c r="AJ530" s="25"/>
      <c r="AK530" s="25"/>
      <c r="AL530" s="25"/>
      <c r="AM530" s="25"/>
      <c r="AN530" s="25"/>
      <c r="AO530" s="26"/>
    </row>
    <row r="531" spans="3:41" x14ac:dyDescent="0.25">
      <c r="C531" s="22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  <c r="AA531" s="25"/>
      <c r="AB531" s="25"/>
      <c r="AC531" s="25"/>
      <c r="AD531" s="25"/>
      <c r="AE531" s="25"/>
      <c r="AF531" s="25"/>
      <c r="AG531" s="25"/>
      <c r="AH531" s="25"/>
      <c r="AI531" s="25"/>
      <c r="AJ531" s="25"/>
      <c r="AK531" s="25"/>
      <c r="AL531" s="25"/>
      <c r="AM531" s="25"/>
      <c r="AN531" s="25"/>
      <c r="AO531" s="26"/>
    </row>
    <row r="532" spans="3:41" x14ac:dyDescent="0.25">
      <c r="C532" s="22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  <c r="AA532" s="25"/>
      <c r="AB532" s="25"/>
      <c r="AC532" s="25"/>
      <c r="AD532" s="25"/>
      <c r="AE532" s="25"/>
      <c r="AF532" s="25"/>
      <c r="AG532" s="25"/>
      <c r="AH532" s="25"/>
      <c r="AI532" s="25"/>
      <c r="AJ532" s="25"/>
      <c r="AK532" s="25"/>
      <c r="AL532" s="25"/>
      <c r="AM532" s="25"/>
      <c r="AN532" s="25"/>
      <c r="AO532" s="26"/>
    </row>
    <row r="533" spans="3:41" x14ac:dyDescent="0.25">
      <c r="C533" s="22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  <c r="AA533" s="25"/>
      <c r="AB533" s="25"/>
      <c r="AC533" s="25"/>
      <c r="AD533" s="25"/>
      <c r="AE533" s="25"/>
      <c r="AF533" s="25"/>
      <c r="AG533" s="25"/>
      <c r="AH533" s="25"/>
      <c r="AI533" s="25"/>
      <c r="AJ533" s="25"/>
      <c r="AK533" s="25"/>
      <c r="AL533" s="25"/>
      <c r="AM533" s="25"/>
      <c r="AN533" s="25"/>
      <c r="AO533" s="26"/>
    </row>
    <row r="534" spans="3:41" x14ac:dyDescent="0.25">
      <c r="C534" s="22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  <c r="AA534" s="25"/>
      <c r="AB534" s="25"/>
      <c r="AC534" s="25"/>
      <c r="AD534" s="25"/>
      <c r="AE534" s="25"/>
      <c r="AF534" s="25"/>
      <c r="AG534" s="25"/>
      <c r="AH534" s="25"/>
      <c r="AI534" s="25"/>
      <c r="AJ534" s="25"/>
      <c r="AK534" s="25"/>
      <c r="AL534" s="25"/>
      <c r="AM534" s="25"/>
      <c r="AN534" s="25"/>
      <c r="AO534" s="26"/>
    </row>
    <row r="535" spans="3:41" x14ac:dyDescent="0.25">
      <c r="C535" s="22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  <c r="AA535" s="25"/>
      <c r="AB535" s="25"/>
      <c r="AC535" s="25"/>
      <c r="AD535" s="25"/>
      <c r="AE535" s="25"/>
      <c r="AF535" s="25"/>
      <c r="AG535" s="25"/>
      <c r="AH535" s="25"/>
      <c r="AI535" s="25"/>
      <c r="AJ535" s="25"/>
      <c r="AK535" s="25"/>
      <c r="AL535" s="25"/>
      <c r="AM535" s="25"/>
      <c r="AN535" s="25"/>
      <c r="AO535" s="26"/>
    </row>
    <row r="536" spans="3:41" x14ac:dyDescent="0.25">
      <c r="C536" s="22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  <c r="AA536" s="25"/>
      <c r="AB536" s="25"/>
      <c r="AC536" s="25"/>
      <c r="AD536" s="25"/>
      <c r="AE536" s="25"/>
      <c r="AF536" s="25"/>
      <c r="AG536" s="25"/>
      <c r="AH536" s="25"/>
      <c r="AI536" s="25"/>
      <c r="AJ536" s="25"/>
      <c r="AK536" s="25"/>
      <c r="AL536" s="25"/>
      <c r="AM536" s="25"/>
      <c r="AN536" s="25"/>
      <c r="AO536" s="26"/>
    </row>
    <row r="537" spans="3:41" x14ac:dyDescent="0.25">
      <c r="C537" s="22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  <c r="AA537" s="25"/>
      <c r="AB537" s="25"/>
      <c r="AC537" s="25"/>
      <c r="AD537" s="25"/>
      <c r="AE537" s="25"/>
      <c r="AF537" s="25"/>
      <c r="AG537" s="25"/>
      <c r="AH537" s="25"/>
      <c r="AI537" s="25"/>
      <c r="AJ537" s="25"/>
      <c r="AK537" s="25"/>
      <c r="AL537" s="25"/>
      <c r="AM537" s="25"/>
      <c r="AN537" s="25"/>
      <c r="AO537" s="26"/>
    </row>
    <row r="538" spans="3:41" x14ac:dyDescent="0.25">
      <c r="C538" s="22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  <c r="AA538" s="25"/>
      <c r="AB538" s="25"/>
      <c r="AC538" s="25"/>
      <c r="AD538" s="25"/>
      <c r="AE538" s="25"/>
      <c r="AF538" s="25"/>
      <c r="AG538" s="25"/>
      <c r="AH538" s="25"/>
      <c r="AI538" s="25"/>
      <c r="AJ538" s="25"/>
      <c r="AK538" s="25"/>
      <c r="AL538" s="25"/>
      <c r="AM538" s="25"/>
      <c r="AN538" s="25"/>
      <c r="AO538" s="26"/>
    </row>
    <row r="539" spans="3:41" x14ac:dyDescent="0.25">
      <c r="C539" s="22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  <c r="AA539" s="25"/>
      <c r="AB539" s="25"/>
      <c r="AC539" s="25"/>
      <c r="AD539" s="25"/>
      <c r="AE539" s="25"/>
      <c r="AF539" s="25"/>
      <c r="AG539" s="25"/>
      <c r="AH539" s="25"/>
      <c r="AI539" s="25"/>
      <c r="AJ539" s="25"/>
      <c r="AK539" s="25"/>
      <c r="AL539" s="25"/>
      <c r="AM539" s="25"/>
      <c r="AN539" s="25"/>
      <c r="AO539" s="26"/>
    </row>
    <row r="540" spans="3:41" x14ac:dyDescent="0.25">
      <c r="C540" s="22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  <c r="AA540" s="25"/>
      <c r="AB540" s="25"/>
      <c r="AC540" s="25"/>
      <c r="AD540" s="25"/>
      <c r="AE540" s="25"/>
      <c r="AF540" s="25"/>
      <c r="AG540" s="25"/>
      <c r="AH540" s="25"/>
      <c r="AI540" s="25"/>
      <c r="AJ540" s="25"/>
      <c r="AK540" s="25"/>
      <c r="AL540" s="25"/>
      <c r="AM540" s="25"/>
      <c r="AN540" s="25"/>
      <c r="AO540" s="26"/>
    </row>
    <row r="541" spans="3:41" x14ac:dyDescent="0.25">
      <c r="C541" s="22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  <c r="AA541" s="25"/>
      <c r="AB541" s="25"/>
      <c r="AC541" s="25"/>
      <c r="AD541" s="25"/>
      <c r="AE541" s="25"/>
      <c r="AF541" s="25"/>
      <c r="AG541" s="25"/>
      <c r="AH541" s="25"/>
      <c r="AI541" s="25"/>
      <c r="AJ541" s="25"/>
      <c r="AK541" s="25"/>
      <c r="AL541" s="25"/>
      <c r="AM541" s="25"/>
      <c r="AN541" s="25"/>
      <c r="AO541" s="26"/>
    </row>
    <row r="542" spans="3:41" x14ac:dyDescent="0.25">
      <c r="C542" s="22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  <c r="AA542" s="25"/>
      <c r="AB542" s="25"/>
      <c r="AC542" s="25"/>
      <c r="AD542" s="25"/>
      <c r="AE542" s="25"/>
      <c r="AF542" s="25"/>
      <c r="AG542" s="25"/>
      <c r="AH542" s="25"/>
      <c r="AI542" s="25"/>
      <c r="AJ542" s="25"/>
      <c r="AK542" s="25"/>
      <c r="AL542" s="25"/>
      <c r="AM542" s="25"/>
      <c r="AN542" s="25"/>
      <c r="AO542" s="26"/>
    </row>
    <row r="543" spans="3:41" x14ac:dyDescent="0.25">
      <c r="C543" s="22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  <c r="AA543" s="25"/>
      <c r="AB543" s="25"/>
      <c r="AC543" s="25"/>
      <c r="AD543" s="25"/>
      <c r="AE543" s="25"/>
      <c r="AF543" s="25"/>
      <c r="AG543" s="25"/>
      <c r="AH543" s="25"/>
      <c r="AI543" s="25"/>
      <c r="AJ543" s="25"/>
      <c r="AK543" s="25"/>
      <c r="AL543" s="25"/>
      <c r="AM543" s="25"/>
      <c r="AN543" s="25"/>
      <c r="AO543" s="26"/>
    </row>
    <row r="544" spans="3:41" x14ac:dyDescent="0.25">
      <c r="C544" s="22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  <c r="AA544" s="25"/>
      <c r="AB544" s="25"/>
      <c r="AC544" s="25"/>
      <c r="AD544" s="25"/>
      <c r="AE544" s="25"/>
      <c r="AF544" s="25"/>
      <c r="AG544" s="25"/>
      <c r="AH544" s="25"/>
      <c r="AI544" s="25"/>
      <c r="AJ544" s="25"/>
      <c r="AK544" s="25"/>
      <c r="AL544" s="25"/>
      <c r="AM544" s="25"/>
      <c r="AN544" s="25"/>
      <c r="AO544" s="26"/>
    </row>
    <row r="545" spans="3:41" x14ac:dyDescent="0.25">
      <c r="C545" s="22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  <c r="AA545" s="25"/>
      <c r="AB545" s="25"/>
      <c r="AC545" s="25"/>
      <c r="AD545" s="25"/>
      <c r="AE545" s="25"/>
      <c r="AF545" s="25"/>
      <c r="AG545" s="25"/>
      <c r="AH545" s="25"/>
      <c r="AI545" s="25"/>
      <c r="AJ545" s="25"/>
      <c r="AK545" s="25"/>
      <c r="AL545" s="25"/>
      <c r="AM545" s="25"/>
      <c r="AN545" s="25"/>
      <c r="AO545" s="26"/>
    </row>
    <row r="546" spans="3:41" x14ac:dyDescent="0.25">
      <c r="C546" s="22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  <c r="AA546" s="25"/>
      <c r="AB546" s="25"/>
      <c r="AC546" s="25"/>
      <c r="AD546" s="25"/>
      <c r="AE546" s="25"/>
      <c r="AF546" s="25"/>
      <c r="AG546" s="25"/>
      <c r="AH546" s="25"/>
      <c r="AI546" s="25"/>
      <c r="AJ546" s="25"/>
      <c r="AK546" s="25"/>
      <c r="AL546" s="25"/>
      <c r="AM546" s="25"/>
      <c r="AN546" s="25"/>
      <c r="AO546" s="26"/>
    </row>
    <row r="547" spans="3:41" x14ac:dyDescent="0.25">
      <c r="C547" s="22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  <c r="AA547" s="25"/>
      <c r="AB547" s="25"/>
      <c r="AC547" s="25"/>
      <c r="AD547" s="25"/>
      <c r="AE547" s="25"/>
      <c r="AF547" s="25"/>
      <c r="AG547" s="25"/>
      <c r="AH547" s="25"/>
      <c r="AI547" s="25"/>
      <c r="AJ547" s="25"/>
      <c r="AK547" s="25"/>
      <c r="AL547" s="25"/>
      <c r="AM547" s="25"/>
      <c r="AN547" s="25"/>
      <c r="AO547" s="26"/>
    </row>
    <row r="548" spans="3:41" x14ac:dyDescent="0.25">
      <c r="C548" s="22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  <c r="AA548" s="25"/>
      <c r="AB548" s="25"/>
      <c r="AC548" s="25"/>
      <c r="AD548" s="25"/>
      <c r="AE548" s="25"/>
      <c r="AF548" s="25"/>
      <c r="AG548" s="25"/>
      <c r="AH548" s="25"/>
      <c r="AI548" s="25"/>
      <c r="AJ548" s="25"/>
      <c r="AK548" s="25"/>
      <c r="AL548" s="25"/>
      <c r="AM548" s="25"/>
      <c r="AN548" s="25"/>
      <c r="AO548" s="26"/>
    </row>
    <row r="549" spans="3:41" x14ac:dyDescent="0.25">
      <c r="C549" s="22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  <c r="AA549" s="25"/>
      <c r="AB549" s="25"/>
      <c r="AC549" s="25"/>
      <c r="AD549" s="25"/>
      <c r="AE549" s="25"/>
      <c r="AF549" s="25"/>
      <c r="AG549" s="25"/>
      <c r="AH549" s="25"/>
      <c r="AI549" s="25"/>
      <c r="AJ549" s="25"/>
      <c r="AK549" s="25"/>
      <c r="AL549" s="25"/>
      <c r="AM549" s="25"/>
      <c r="AN549" s="25"/>
      <c r="AO549" s="26"/>
    </row>
    <row r="550" spans="3:41" x14ac:dyDescent="0.25">
      <c r="C550" s="22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  <c r="AA550" s="25"/>
      <c r="AB550" s="25"/>
      <c r="AC550" s="25"/>
      <c r="AD550" s="25"/>
      <c r="AE550" s="25"/>
      <c r="AF550" s="25"/>
      <c r="AG550" s="25"/>
      <c r="AH550" s="25"/>
      <c r="AI550" s="25"/>
      <c r="AJ550" s="25"/>
      <c r="AK550" s="25"/>
      <c r="AL550" s="25"/>
      <c r="AM550" s="25"/>
      <c r="AN550" s="25"/>
      <c r="AO550" s="26"/>
    </row>
    <row r="551" spans="3:41" x14ac:dyDescent="0.25">
      <c r="C551" s="22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  <c r="AA551" s="25"/>
      <c r="AB551" s="25"/>
      <c r="AC551" s="25"/>
      <c r="AD551" s="25"/>
      <c r="AE551" s="25"/>
      <c r="AF551" s="25"/>
      <c r="AG551" s="25"/>
      <c r="AH551" s="25"/>
      <c r="AI551" s="25"/>
      <c r="AJ551" s="25"/>
      <c r="AK551" s="25"/>
      <c r="AL551" s="25"/>
      <c r="AM551" s="25"/>
      <c r="AN551" s="25"/>
      <c r="AO551" s="26"/>
    </row>
    <row r="552" spans="3:41" x14ac:dyDescent="0.25">
      <c r="C552" s="22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  <c r="AA552" s="25"/>
      <c r="AB552" s="25"/>
      <c r="AC552" s="25"/>
      <c r="AD552" s="25"/>
      <c r="AE552" s="25"/>
      <c r="AF552" s="25"/>
      <c r="AG552" s="25"/>
      <c r="AH552" s="25"/>
      <c r="AI552" s="25"/>
      <c r="AJ552" s="25"/>
      <c r="AK552" s="25"/>
      <c r="AL552" s="25"/>
      <c r="AM552" s="25"/>
      <c r="AN552" s="25"/>
      <c r="AO552" s="26"/>
    </row>
    <row r="553" spans="3:41" x14ac:dyDescent="0.25">
      <c r="C553" s="22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  <c r="AA553" s="25"/>
      <c r="AB553" s="25"/>
      <c r="AC553" s="25"/>
      <c r="AD553" s="25"/>
      <c r="AE553" s="25"/>
      <c r="AF553" s="25"/>
      <c r="AG553" s="25"/>
      <c r="AH553" s="25"/>
      <c r="AI553" s="25"/>
      <c r="AJ553" s="25"/>
      <c r="AK553" s="25"/>
      <c r="AL553" s="25"/>
      <c r="AM553" s="25"/>
      <c r="AN553" s="25"/>
      <c r="AO553" s="26"/>
    </row>
    <row r="554" spans="3:41" x14ac:dyDescent="0.25">
      <c r="C554" s="22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  <c r="AA554" s="25"/>
      <c r="AB554" s="25"/>
      <c r="AC554" s="25"/>
      <c r="AD554" s="25"/>
      <c r="AE554" s="25"/>
      <c r="AF554" s="25"/>
      <c r="AG554" s="25"/>
      <c r="AH554" s="25"/>
      <c r="AI554" s="25"/>
      <c r="AJ554" s="25"/>
      <c r="AK554" s="25"/>
      <c r="AL554" s="25"/>
      <c r="AM554" s="25"/>
      <c r="AN554" s="25"/>
      <c r="AO554" s="26"/>
    </row>
    <row r="555" spans="3:41" x14ac:dyDescent="0.25">
      <c r="C555" s="22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  <c r="AA555" s="25"/>
      <c r="AB555" s="25"/>
      <c r="AC555" s="25"/>
      <c r="AD555" s="25"/>
      <c r="AE555" s="25"/>
      <c r="AF555" s="25"/>
      <c r="AG555" s="25"/>
      <c r="AH555" s="25"/>
      <c r="AI555" s="25"/>
      <c r="AJ555" s="25"/>
      <c r="AK555" s="25"/>
      <c r="AL555" s="25"/>
      <c r="AM555" s="25"/>
      <c r="AN555" s="25"/>
      <c r="AO555" s="26"/>
    </row>
    <row r="556" spans="3:41" x14ac:dyDescent="0.25">
      <c r="C556" s="22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  <c r="AA556" s="25"/>
      <c r="AB556" s="25"/>
      <c r="AC556" s="25"/>
      <c r="AD556" s="25"/>
      <c r="AE556" s="25"/>
      <c r="AF556" s="25"/>
      <c r="AG556" s="25"/>
      <c r="AH556" s="25"/>
      <c r="AI556" s="25"/>
      <c r="AJ556" s="25"/>
      <c r="AK556" s="25"/>
      <c r="AL556" s="25"/>
      <c r="AM556" s="25"/>
      <c r="AN556" s="25"/>
      <c r="AO556" s="26"/>
    </row>
    <row r="557" spans="3:41" x14ac:dyDescent="0.25">
      <c r="C557" s="22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  <c r="AA557" s="25"/>
      <c r="AB557" s="25"/>
      <c r="AC557" s="25"/>
      <c r="AD557" s="25"/>
      <c r="AE557" s="25"/>
      <c r="AF557" s="25"/>
      <c r="AG557" s="25"/>
      <c r="AH557" s="25"/>
      <c r="AI557" s="25"/>
      <c r="AJ557" s="25"/>
      <c r="AK557" s="25"/>
      <c r="AL557" s="25"/>
      <c r="AM557" s="25"/>
      <c r="AN557" s="25"/>
      <c r="AO557" s="26"/>
    </row>
    <row r="558" spans="3:41" x14ac:dyDescent="0.25">
      <c r="C558" s="22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  <c r="AA558" s="25"/>
      <c r="AB558" s="25"/>
      <c r="AC558" s="25"/>
      <c r="AD558" s="25"/>
      <c r="AE558" s="25"/>
      <c r="AF558" s="25"/>
      <c r="AG558" s="25"/>
      <c r="AH558" s="25"/>
      <c r="AI558" s="25"/>
      <c r="AJ558" s="25"/>
      <c r="AK558" s="25"/>
      <c r="AL558" s="25"/>
      <c r="AM558" s="25"/>
      <c r="AN558" s="25"/>
      <c r="AO558" s="26"/>
    </row>
    <row r="559" spans="3:41" x14ac:dyDescent="0.25">
      <c r="C559" s="22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  <c r="AA559" s="25"/>
      <c r="AB559" s="25"/>
      <c r="AC559" s="25"/>
      <c r="AD559" s="25"/>
      <c r="AE559" s="25"/>
      <c r="AF559" s="25"/>
      <c r="AG559" s="25"/>
      <c r="AH559" s="25"/>
      <c r="AI559" s="25"/>
      <c r="AJ559" s="25"/>
      <c r="AK559" s="25"/>
      <c r="AL559" s="25"/>
      <c r="AM559" s="25"/>
      <c r="AN559" s="25"/>
      <c r="AO559" s="26"/>
    </row>
    <row r="560" spans="3:41" x14ac:dyDescent="0.25">
      <c r="C560" s="22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  <c r="AA560" s="25"/>
      <c r="AB560" s="25"/>
      <c r="AC560" s="25"/>
      <c r="AD560" s="25"/>
      <c r="AE560" s="25"/>
      <c r="AF560" s="25"/>
      <c r="AG560" s="25"/>
      <c r="AH560" s="25"/>
      <c r="AI560" s="25"/>
      <c r="AJ560" s="25"/>
      <c r="AK560" s="25"/>
      <c r="AL560" s="25"/>
      <c r="AM560" s="25"/>
      <c r="AN560" s="25"/>
      <c r="AO560" s="26"/>
    </row>
    <row r="561" spans="3:41" x14ac:dyDescent="0.25">
      <c r="C561" s="22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  <c r="AA561" s="25"/>
      <c r="AB561" s="25"/>
      <c r="AC561" s="25"/>
      <c r="AD561" s="25"/>
      <c r="AE561" s="25"/>
      <c r="AF561" s="25"/>
      <c r="AG561" s="25"/>
      <c r="AH561" s="25"/>
      <c r="AI561" s="25"/>
      <c r="AJ561" s="25"/>
      <c r="AK561" s="25"/>
      <c r="AL561" s="25"/>
      <c r="AM561" s="25"/>
      <c r="AN561" s="25"/>
      <c r="AO561" s="26"/>
    </row>
    <row r="562" spans="3:41" x14ac:dyDescent="0.25">
      <c r="C562" s="22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  <c r="AA562" s="25"/>
      <c r="AB562" s="25"/>
      <c r="AC562" s="25"/>
      <c r="AD562" s="25"/>
      <c r="AE562" s="25"/>
      <c r="AF562" s="25"/>
      <c r="AG562" s="25"/>
      <c r="AH562" s="25"/>
      <c r="AI562" s="25"/>
      <c r="AJ562" s="25"/>
      <c r="AK562" s="25"/>
      <c r="AL562" s="25"/>
      <c r="AM562" s="25"/>
      <c r="AN562" s="25"/>
      <c r="AO562" s="26"/>
    </row>
    <row r="563" spans="3:41" x14ac:dyDescent="0.25">
      <c r="C563" s="22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  <c r="AA563" s="25"/>
      <c r="AB563" s="25"/>
      <c r="AC563" s="25"/>
      <c r="AD563" s="25"/>
      <c r="AE563" s="25"/>
      <c r="AF563" s="25"/>
      <c r="AG563" s="25"/>
      <c r="AH563" s="25"/>
      <c r="AI563" s="25"/>
      <c r="AJ563" s="25"/>
      <c r="AK563" s="25"/>
      <c r="AL563" s="25"/>
      <c r="AM563" s="25"/>
      <c r="AN563" s="25"/>
      <c r="AO563" s="26"/>
    </row>
    <row r="564" spans="3:41" x14ac:dyDescent="0.25">
      <c r="C564" s="22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  <c r="AA564" s="25"/>
      <c r="AB564" s="25"/>
      <c r="AC564" s="25"/>
      <c r="AD564" s="25"/>
      <c r="AE564" s="25"/>
      <c r="AF564" s="25"/>
      <c r="AG564" s="25"/>
      <c r="AH564" s="25"/>
      <c r="AI564" s="25"/>
      <c r="AJ564" s="25"/>
      <c r="AK564" s="25"/>
      <c r="AL564" s="25"/>
      <c r="AM564" s="25"/>
      <c r="AN564" s="25"/>
      <c r="AO564" s="26"/>
    </row>
    <row r="565" spans="3:41" x14ac:dyDescent="0.25">
      <c r="C565" s="22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  <c r="AA565" s="25"/>
      <c r="AB565" s="25"/>
      <c r="AC565" s="25"/>
      <c r="AD565" s="25"/>
      <c r="AE565" s="25"/>
      <c r="AF565" s="25"/>
      <c r="AG565" s="25"/>
      <c r="AH565" s="25"/>
      <c r="AI565" s="25"/>
      <c r="AJ565" s="25"/>
      <c r="AK565" s="25"/>
      <c r="AL565" s="25"/>
      <c r="AM565" s="25"/>
      <c r="AN565" s="25"/>
      <c r="AO565" s="26"/>
    </row>
    <row r="566" spans="3:41" x14ac:dyDescent="0.25">
      <c r="C566" s="22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  <c r="AA566" s="25"/>
      <c r="AB566" s="25"/>
      <c r="AC566" s="25"/>
      <c r="AD566" s="25"/>
      <c r="AE566" s="25"/>
      <c r="AF566" s="25"/>
      <c r="AG566" s="25"/>
      <c r="AH566" s="25"/>
      <c r="AI566" s="25"/>
      <c r="AJ566" s="25"/>
      <c r="AK566" s="25"/>
      <c r="AL566" s="25"/>
      <c r="AM566" s="25"/>
      <c r="AN566" s="25"/>
      <c r="AO566" s="26"/>
    </row>
    <row r="567" spans="3:41" x14ac:dyDescent="0.25">
      <c r="C567" s="22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  <c r="AA567" s="25"/>
      <c r="AB567" s="25"/>
      <c r="AC567" s="25"/>
      <c r="AD567" s="25"/>
      <c r="AE567" s="25"/>
      <c r="AF567" s="25"/>
      <c r="AG567" s="25"/>
      <c r="AH567" s="25"/>
      <c r="AI567" s="25"/>
      <c r="AJ567" s="25"/>
      <c r="AK567" s="25"/>
      <c r="AL567" s="25"/>
      <c r="AM567" s="25"/>
      <c r="AN567" s="25"/>
      <c r="AO567" s="26"/>
    </row>
    <row r="568" spans="3:41" x14ac:dyDescent="0.25">
      <c r="C568" s="22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  <c r="AA568" s="25"/>
      <c r="AB568" s="25"/>
      <c r="AC568" s="25"/>
      <c r="AD568" s="25"/>
      <c r="AE568" s="25"/>
      <c r="AF568" s="25"/>
      <c r="AG568" s="25"/>
      <c r="AH568" s="25"/>
      <c r="AI568" s="25"/>
      <c r="AJ568" s="25"/>
      <c r="AK568" s="25"/>
      <c r="AL568" s="25"/>
      <c r="AM568" s="25"/>
      <c r="AN568" s="25"/>
      <c r="AO568" s="26"/>
    </row>
    <row r="569" spans="3:41" x14ac:dyDescent="0.25">
      <c r="C569" s="22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  <c r="AA569" s="25"/>
      <c r="AB569" s="25"/>
      <c r="AC569" s="25"/>
      <c r="AD569" s="25"/>
      <c r="AE569" s="25"/>
      <c r="AF569" s="25"/>
      <c r="AG569" s="25"/>
      <c r="AH569" s="25"/>
      <c r="AI569" s="25"/>
      <c r="AJ569" s="25"/>
      <c r="AK569" s="25"/>
      <c r="AL569" s="25"/>
      <c r="AM569" s="25"/>
      <c r="AN569" s="25"/>
      <c r="AO569" s="26"/>
    </row>
    <row r="570" spans="3:41" x14ac:dyDescent="0.25">
      <c r="C570" s="22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  <c r="AA570" s="25"/>
      <c r="AB570" s="25"/>
      <c r="AC570" s="25"/>
      <c r="AD570" s="25"/>
      <c r="AE570" s="25"/>
      <c r="AF570" s="25"/>
      <c r="AG570" s="25"/>
      <c r="AH570" s="25"/>
      <c r="AI570" s="25"/>
      <c r="AJ570" s="25"/>
      <c r="AK570" s="25"/>
      <c r="AL570" s="25"/>
      <c r="AM570" s="25"/>
      <c r="AN570" s="25"/>
      <c r="AO570" s="26"/>
    </row>
    <row r="571" spans="3:41" x14ac:dyDescent="0.25">
      <c r="C571" s="22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  <c r="AA571" s="25"/>
      <c r="AB571" s="25"/>
      <c r="AC571" s="25"/>
      <c r="AD571" s="25"/>
      <c r="AE571" s="25"/>
      <c r="AF571" s="25"/>
      <c r="AG571" s="25"/>
      <c r="AH571" s="25"/>
      <c r="AI571" s="25"/>
      <c r="AJ571" s="25"/>
      <c r="AK571" s="25"/>
      <c r="AL571" s="25"/>
      <c r="AM571" s="25"/>
      <c r="AN571" s="25"/>
      <c r="AO571" s="26"/>
    </row>
    <row r="572" spans="3:41" x14ac:dyDescent="0.25">
      <c r="C572" s="22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  <c r="AA572" s="25"/>
      <c r="AB572" s="25"/>
      <c r="AC572" s="25"/>
      <c r="AD572" s="25"/>
      <c r="AE572" s="25"/>
      <c r="AF572" s="25"/>
      <c r="AG572" s="25"/>
      <c r="AH572" s="25"/>
      <c r="AI572" s="25"/>
      <c r="AJ572" s="25"/>
      <c r="AK572" s="25"/>
      <c r="AL572" s="25"/>
      <c r="AM572" s="25"/>
      <c r="AN572" s="25"/>
      <c r="AO572" s="26"/>
    </row>
    <row r="573" spans="3:41" x14ac:dyDescent="0.25">
      <c r="C573" s="22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  <c r="AA573" s="25"/>
      <c r="AB573" s="25"/>
      <c r="AC573" s="25"/>
      <c r="AD573" s="25"/>
      <c r="AE573" s="25"/>
      <c r="AF573" s="25"/>
      <c r="AG573" s="25"/>
      <c r="AH573" s="25"/>
      <c r="AI573" s="25"/>
      <c r="AJ573" s="25"/>
      <c r="AK573" s="25"/>
      <c r="AL573" s="25"/>
      <c r="AM573" s="25"/>
      <c r="AN573" s="25"/>
      <c r="AO573" s="26"/>
    </row>
    <row r="574" spans="3:41" x14ac:dyDescent="0.25">
      <c r="C574" s="22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  <c r="AA574" s="25"/>
      <c r="AB574" s="25"/>
      <c r="AC574" s="25"/>
      <c r="AD574" s="25"/>
      <c r="AE574" s="25"/>
      <c r="AF574" s="25"/>
      <c r="AG574" s="25"/>
      <c r="AH574" s="25"/>
      <c r="AI574" s="25"/>
      <c r="AJ574" s="25"/>
      <c r="AK574" s="25"/>
      <c r="AL574" s="25"/>
      <c r="AM574" s="25"/>
      <c r="AN574" s="25"/>
      <c r="AO574" s="26"/>
    </row>
    <row r="575" spans="3:41" x14ac:dyDescent="0.25">
      <c r="C575" s="22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  <c r="AA575" s="25"/>
      <c r="AB575" s="25"/>
      <c r="AC575" s="25"/>
      <c r="AD575" s="25"/>
      <c r="AE575" s="25"/>
      <c r="AF575" s="25"/>
      <c r="AG575" s="25"/>
      <c r="AH575" s="25"/>
      <c r="AI575" s="25"/>
      <c r="AJ575" s="25"/>
      <c r="AK575" s="25"/>
      <c r="AL575" s="25"/>
      <c r="AM575" s="25"/>
      <c r="AN575" s="25"/>
      <c r="AO575" s="26"/>
    </row>
    <row r="576" spans="3:41" x14ac:dyDescent="0.25">
      <c r="C576" s="22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  <c r="AA576" s="25"/>
      <c r="AB576" s="25"/>
      <c r="AC576" s="25"/>
      <c r="AD576" s="25"/>
      <c r="AE576" s="25"/>
      <c r="AF576" s="25"/>
      <c r="AG576" s="25"/>
      <c r="AH576" s="25"/>
      <c r="AI576" s="25"/>
      <c r="AJ576" s="25"/>
      <c r="AK576" s="25"/>
      <c r="AL576" s="25"/>
      <c r="AM576" s="25"/>
      <c r="AN576" s="25"/>
      <c r="AO576" s="26"/>
    </row>
    <row r="577" spans="3:41" x14ac:dyDescent="0.25">
      <c r="C577" s="22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  <c r="AA577" s="25"/>
      <c r="AB577" s="25"/>
      <c r="AC577" s="25"/>
      <c r="AD577" s="25"/>
      <c r="AE577" s="25"/>
      <c r="AF577" s="25"/>
      <c r="AG577" s="25"/>
      <c r="AH577" s="25"/>
      <c r="AI577" s="25"/>
      <c r="AJ577" s="25"/>
      <c r="AK577" s="25"/>
      <c r="AL577" s="25"/>
      <c r="AM577" s="25"/>
      <c r="AN577" s="25"/>
      <c r="AO577" s="26"/>
    </row>
    <row r="578" spans="3:41" x14ac:dyDescent="0.25">
      <c r="C578" s="22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  <c r="AA578" s="25"/>
      <c r="AB578" s="25"/>
      <c r="AC578" s="25"/>
      <c r="AD578" s="25"/>
      <c r="AE578" s="25"/>
      <c r="AF578" s="25"/>
      <c r="AG578" s="25"/>
      <c r="AH578" s="25"/>
      <c r="AI578" s="25"/>
      <c r="AJ578" s="25"/>
      <c r="AK578" s="25"/>
      <c r="AL578" s="25"/>
      <c r="AM578" s="25"/>
      <c r="AN578" s="25"/>
      <c r="AO578" s="26"/>
    </row>
    <row r="579" spans="3:41" x14ac:dyDescent="0.25">
      <c r="C579" s="22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  <c r="AA579" s="25"/>
      <c r="AB579" s="25"/>
      <c r="AC579" s="25"/>
      <c r="AD579" s="25"/>
      <c r="AE579" s="25"/>
      <c r="AF579" s="25"/>
      <c r="AG579" s="25"/>
      <c r="AH579" s="25"/>
      <c r="AI579" s="25"/>
      <c r="AJ579" s="25"/>
      <c r="AK579" s="25"/>
      <c r="AL579" s="25"/>
      <c r="AM579" s="25"/>
      <c r="AN579" s="25"/>
      <c r="AO579" s="26"/>
    </row>
    <row r="580" spans="3:41" x14ac:dyDescent="0.25">
      <c r="C580" s="22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  <c r="AA580" s="25"/>
      <c r="AB580" s="25"/>
      <c r="AC580" s="25"/>
      <c r="AD580" s="25"/>
      <c r="AE580" s="25"/>
      <c r="AF580" s="25"/>
      <c r="AG580" s="25"/>
      <c r="AH580" s="25"/>
      <c r="AI580" s="25"/>
      <c r="AJ580" s="25"/>
      <c r="AK580" s="25"/>
      <c r="AL580" s="25"/>
      <c r="AM580" s="25"/>
      <c r="AN580" s="25"/>
      <c r="AO580" s="26"/>
    </row>
    <row r="581" spans="3:41" x14ac:dyDescent="0.25">
      <c r="C581" s="22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  <c r="AA581" s="25"/>
      <c r="AB581" s="25"/>
      <c r="AC581" s="25"/>
      <c r="AD581" s="25"/>
      <c r="AE581" s="25"/>
      <c r="AF581" s="25"/>
      <c r="AG581" s="25"/>
      <c r="AH581" s="25"/>
      <c r="AI581" s="25"/>
      <c r="AJ581" s="25"/>
      <c r="AK581" s="25"/>
      <c r="AL581" s="25"/>
      <c r="AM581" s="25"/>
      <c r="AN581" s="25"/>
      <c r="AO581" s="26"/>
    </row>
    <row r="582" spans="3:41" x14ac:dyDescent="0.25">
      <c r="C582" s="22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  <c r="AA582" s="25"/>
      <c r="AB582" s="25"/>
      <c r="AC582" s="25"/>
      <c r="AD582" s="25"/>
      <c r="AE582" s="25"/>
      <c r="AF582" s="25"/>
      <c r="AG582" s="25"/>
      <c r="AH582" s="25"/>
      <c r="AI582" s="25"/>
      <c r="AJ582" s="25"/>
      <c r="AK582" s="25"/>
      <c r="AL582" s="25"/>
      <c r="AM582" s="25"/>
      <c r="AN582" s="25"/>
      <c r="AO582" s="26"/>
    </row>
    <row r="583" spans="3:41" x14ac:dyDescent="0.25">
      <c r="C583" s="22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  <c r="AA583" s="25"/>
      <c r="AB583" s="25"/>
      <c r="AC583" s="25"/>
      <c r="AD583" s="25"/>
      <c r="AE583" s="25"/>
      <c r="AF583" s="25"/>
      <c r="AG583" s="25"/>
      <c r="AH583" s="25"/>
      <c r="AI583" s="25"/>
      <c r="AJ583" s="25"/>
      <c r="AK583" s="25"/>
      <c r="AL583" s="25"/>
      <c r="AM583" s="25"/>
      <c r="AN583" s="25"/>
      <c r="AO583" s="26"/>
    </row>
    <row r="584" spans="3:41" x14ac:dyDescent="0.25">
      <c r="C584" s="22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  <c r="AA584" s="25"/>
      <c r="AB584" s="25"/>
      <c r="AC584" s="25"/>
      <c r="AD584" s="25"/>
      <c r="AE584" s="25"/>
      <c r="AF584" s="25"/>
      <c r="AG584" s="25"/>
      <c r="AH584" s="25"/>
      <c r="AI584" s="25"/>
      <c r="AJ584" s="25"/>
      <c r="AK584" s="25"/>
      <c r="AL584" s="25"/>
      <c r="AM584" s="25"/>
      <c r="AN584" s="25"/>
      <c r="AO584" s="26"/>
    </row>
    <row r="585" spans="3:41" x14ac:dyDescent="0.25">
      <c r="C585" s="22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  <c r="AA585" s="25"/>
      <c r="AB585" s="25"/>
      <c r="AC585" s="25"/>
      <c r="AD585" s="25"/>
      <c r="AE585" s="25"/>
      <c r="AF585" s="25"/>
      <c r="AG585" s="25"/>
      <c r="AH585" s="25"/>
      <c r="AI585" s="25"/>
      <c r="AJ585" s="25"/>
      <c r="AK585" s="25"/>
      <c r="AL585" s="25"/>
      <c r="AM585" s="25"/>
      <c r="AN585" s="25"/>
      <c r="AO585" s="26"/>
    </row>
    <row r="586" spans="3:41" x14ac:dyDescent="0.25">
      <c r="C586" s="22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  <c r="AA586" s="25"/>
      <c r="AB586" s="25"/>
      <c r="AC586" s="25"/>
      <c r="AD586" s="25"/>
      <c r="AE586" s="25"/>
      <c r="AF586" s="25"/>
      <c r="AG586" s="25"/>
      <c r="AH586" s="25"/>
      <c r="AI586" s="25"/>
      <c r="AJ586" s="25"/>
      <c r="AK586" s="25"/>
      <c r="AL586" s="25"/>
      <c r="AM586" s="25"/>
      <c r="AN586" s="25"/>
      <c r="AO586" s="26"/>
    </row>
    <row r="587" spans="3:41" x14ac:dyDescent="0.25">
      <c r="C587" s="22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  <c r="AA587" s="25"/>
      <c r="AB587" s="25"/>
      <c r="AC587" s="25"/>
      <c r="AD587" s="25"/>
      <c r="AE587" s="25"/>
      <c r="AF587" s="25"/>
      <c r="AG587" s="25"/>
      <c r="AH587" s="25"/>
      <c r="AI587" s="25"/>
      <c r="AJ587" s="25"/>
      <c r="AK587" s="25"/>
      <c r="AL587" s="25"/>
      <c r="AM587" s="25"/>
      <c r="AN587" s="25"/>
      <c r="AO587" s="26"/>
    </row>
    <row r="588" spans="3:41" x14ac:dyDescent="0.25">
      <c r="C588" s="22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  <c r="AA588" s="25"/>
      <c r="AB588" s="25"/>
      <c r="AC588" s="25"/>
      <c r="AD588" s="25"/>
      <c r="AE588" s="25"/>
      <c r="AF588" s="25"/>
      <c r="AG588" s="25"/>
      <c r="AH588" s="25"/>
      <c r="AI588" s="25"/>
      <c r="AJ588" s="25"/>
      <c r="AK588" s="25"/>
      <c r="AL588" s="25"/>
      <c r="AM588" s="25"/>
      <c r="AN588" s="25"/>
      <c r="AO588" s="26"/>
    </row>
    <row r="589" spans="3:41" x14ac:dyDescent="0.25">
      <c r="C589" s="22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  <c r="AA589" s="25"/>
      <c r="AB589" s="25"/>
      <c r="AC589" s="25"/>
      <c r="AD589" s="25"/>
      <c r="AE589" s="25"/>
      <c r="AF589" s="25"/>
      <c r="AG589" s="25"/>
      <c r="AH589" s="25"/>
      <c r="AI589" s="25"/>
      <c r="AJ589" s="25"/>
      <c r="AK589" s="25"/>
      <c r="AL589" s="25"/>
      <c r="AM589" s="25"/>
      <c r="AN589" s="25"/>
      <c r="AO589" s="26"/>
    </row>
    <row r="590" spans="3:41" x14ac:dyDescent="0.25">
      <c r="C590" s="22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  <c r="AA590" s="25"/>
      <c r="AB590" s="25"/>
      <c r="AC590" s="25"/>
      <c r="AD590" s="25"/>
      <c r="AE590" s="25"/>
      <c r="AF590" s="25"/>
      <c r="AG590" s="25"/>
      <c r="AH590" s="25"/>
      <c r="AI590" s="25"/>
      <c r="AJ590" s="25"/>
      <c r="AK590" s="25"/>
      <c r="AL590" s="25"/>
      <c r="AM590" s="25"/>
      <c r="AN590" s="25"/>
      <c r="AO590" s="26"/>
    </row>
    <row r="591" spans="3:41" x14ac:dyDescent="0.25">
      <c r="C591" s="22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  <c r="AA591" s="25"/>
      <c r="AB591" s="25"/>
      <c r="AC591" s="25"/>
      <c r="AD591" s="25"/>
      <c r="AE591" s="25"/>
      <c r="AF591" s="25"/>
      <c r="AG591" s="25"/>
      <c r="AH591" s="25"/>
      <c r="AI591" s="25"/>
      <c r="AJ591" s="25"/>
      <c r="AK591" s="25"/>
      <c r="AL591" s="25"/>
      <c r="AM591" s="25"/>
      <c r="AN591" s="25"/>
      <c r="AO591" s="26"/>
    </row>
    <row r="592" spans="3:41" x14ac:dyDescent="0.25">
      <c r="C592" s="22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  <c r="AA592" s="25"/>
      <c r="AB592" s="25"/>
      <c r="AC592" s="25"/>
      <c r="AD592" s="25"/>
      <c r="AE592" s="25"/>
      <c r="AF592" s="25"/>
      <c r="AG592" s="25"/>
      <c r="AH592" s="25"/>
      <c r="AI592" s="25"/>
      <c r="AJ592" s="25"/>
      <c r="AK592" s="25"/>
      <c r="AL592" s="25"/>
      <c r="AM592" s="25"/>
      <c r="AN592" s="25"/>
      <c r="AO592" s="26"/>
    </row>
    <row r="593" spans="3:41" x14ac:dyDescent="0.25">
      <c r="C593" s="22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  <c r="AA593" s="25"/>
      <c r="AB593" s="25"/>
      <c r="AC593" s="25"/>
      <c r="AD593" s="25"/>
      <c r="AE593" s="25"/>
      <c r="AF593" s="25"/>
      <c r="AG593" s="25"/>
      <c r="AH593" s="25"/>
      <c r="AI593" s="25"/>
      <c r="AJ593" s="25"/>
      <c r="AK593" s="25"/>
      <c r="AL593" s="25"/>
      <c r="AM593" s="25"/>
      <c r="AN593" s="25"/>
      <c r="AO593" s="26"/>
    </row>
    <row r="594" spans="3:41" x14ac:dyDescent="0.25">
      <c r="C594" s="22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  <c r="AA594" s="25"/>
      <c r="AB594" s="25"/>
      <c r="AC594" s="25"/>
      <c r="AD594" s="25"/>
      <c r="AE594" s="25"/>
      <c r="AF594" s="25"/>
      <c r="AG594" s="25"/>
      <c r="AH594" s="25"/>
      <c r="AI594" s="25"/>
      <c r="AJ594" s="25"/>
      <c r="AK594" s="25"/>
      <c r="AL594" s="25"/>
      <c r="AM594" s="25"/>
      <c r="AN594" s="25"/>
      <c r="AO594" s="26"/>
    </row>
    <row r="595" spans="3:41" x14ac:dyDescent="0.25">
      <c r="C595" s="22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  <c r="AA595" s="25"/>
      <c r="AB595" s="25"/>
      <c r="AC595" s="25"/>
      <c r="AD595" s="25"/>
      <c r="AE595" s="25"/>
      <c r="AF595" s="25"/>
      <c r="AG595" s="25"/>
      <c r="AH595" s="25"/>
      <c r="AI595" s="25"/>
      <c r="AJ595" s="25"/>
      <c r="AK595" s="25"/>
      <c r="AL595" s="25"/>
      <c r="AM595" s="25"/>
      <c r="AN595" s="25"/>
      <c r="AO595" s="26"/>
    </row>
    <row r="596" spans="3:41" x14ac:dyDescent="0.25">
      <c r="C596" s="22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  <c r="AA596" s="25"/>
      <c r="AB596" s="25"/>
      <c r="AC596" s="25"/>
      <c r="AD596" s="25"/>
      <c r="AE596" s="25"/>
      <c r="AF596" s="25"/>
      <c r="AG596" s="25"/>
      <c r="AH596" s="25"/>
      <c r="AI596" s="25"/>
      <c r="AJ596" s="25"/>
      <c r="AK596" s="25"/>
      <c r="AL596" s="25"/>
      <c r="AM596" s="25"/>
      <c r="AN596" s="25"/>
      <c r="AO596" s="26"/>
    </row>
    <row r="597" spans="3:41" x14ac:dyDescent="0.25">
      <c r="C597" s="22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  <c r="AA597" s="25"/>
      <c r="AB597" s="25"/>
      <c r="AC597" s="25"/>
      <c r="AD597" s="25"/>
      <c r="AE597" s="25"/>
      <c r="AF597" s="25"/>
      <c r="AG597" s="25"/>
      <c r="AH597" s="25"/>
      <c r="AI597" s="25"/>
      <c r="AJ597" s="25"/>
      <c r="AK597" s="25"/>
      <c r="AL597" s="25"/>
      <c r="AM597" s="25"/>
      <c r="AN597" s="25"/>
      <c r="AO597" s="26"/>
    </row>
    <row r="598" spans="3:41" x14ac:dyDescent="0.25">
      <c r="C598" s="22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  <c r="AA598" s="25"/>
      <c r="AB598" s="25"/>
      <c r="AC598" s="25"/>
      <c r="AD598" s="25"/>
      <c r="AE598" s="25"/>
      <c r="AF598" s="25"/>
      <c r="AG598" s="25"/>
      <c r="AH598" s="25"/>
      <c r="AI598" s="25"/>
      <c r="AJ598" s="25"/>
      <c r="AK598" s="25"/>
      <c r="AL598" s="25"/>
      <c r="AM598" s="25"/>
      <c r="AN598" s="25"/>
      <c r="AO598" s="26"/>
    </row>
    <row r="599" spans="3:41" x14ac:dyDescent="0.25">
      <c r="C599" s="22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  <c r="AA599" s="25"/>
      <c r="AB599" s="25"/>
      <c r="AC599" s="25"/>
      <c r="AD599" s="25"/>
      <c r="AE599" s="25"/>
      <c r="AF599" s="25"/>
      <c r="AG599" s="25"/>
      <c r="AH599" s="25"/>
      <c r="AI599" s="25"/>
      <c r="AJ599" s="25"/>
      <c r="AK599" s="25"/>
      <c r="AL599" s="25"/>
      <c r="AM599" s="25"/>
      <c r="AN599" s="25"/>
      <c r="AO599" s="26"/>
    </row>
    <row r="600" spans="3:41" x14ac:dyDescent="0.25">
      <c r="C600" s="22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  <c r="AA600" s="25"/>
      <c r="AB600" s="25"/>
      <c r="AC600" s="25"/>
      <c r="AD600" s="25"/>
      <c r="AE600" s="25"/>
      <c r="AF600" s="25"/>
      <c r="AG600" s="25"/>
      <c r="AH600" s="25"/>
      <c r="AI600" s="25"/>
      <c r="AJ600" s="25"/>
      <c r="AK600" s="25"/>
      <c r="AL600" s="25"/>
      <c r="AM600" s="25"/>
      <c r="AN600" s="25"/>
      <c r="AO600" s="26"/>
    </row>
    <row r="601" spans="3:41" x14ac:dyDescent="0.25">
      <c r="C601" s="22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  <c r="AA601" s="25"/>
      <c r="AB601" s="25"/>
      <c r="AC601" s="25"/>
      <c r="AD601" s="25"/>
      <c r="AE601" s="25"/>
      <c r="AF601" s="25"/>
      <c r="AG601" s="25"/>
      <c r="AH601" s="25"/>
      <c r="AI601" s="25"/>
      <c r="AJ601" s="25"/>
      <c r="AK601" s="25"/>
      <c r="AL601" s="25"/>
      <c r="AM601" s="25"/>
      <c r="AN601" s="25"/>
      <c r="AO601" s="26"/>
    </row>
    <row r="602" spans="3:41" x14ac:dyDescent="0.25">
      <c r="C602" s="22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  <c r="AA602" s="25"/>
      <c r="AB602" s="25"/>
      <c r="AC602" s="25"/>
      <c r="AD602" s="25"/>
      <c r="AE602" s="25"/>
      <c r="AF602" s="25"/>
      <c r="AG602" s="25"/>
      <c r="AH602" s="25"/>
      <c r="AI602" s="25"/>
      <c r="AJ602" s="25"/>
      <c r="AK602" s="25"/>
      <c r="AL602" s="25"/>
      <c r="AM602" s="25"/>
      <c r="AN602" s="25"/>
      <c r="AO602" s="26"/>
    </row>
    <row r="603" spans="3:41" x14ac:dyDescent="0.25">
      <c r="C603" s="22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  <c r="AA603" s="25"/>
      <c r="AB603" s="25"/>
      <c r="AC603" s="25"/>
      <c r="AD603" s="25"/>
      <c r="AE603" s="25"/>
      <c r="AF603" s="25"/>
      <c r="AG603" s="25"/>
      <c r="AH603" s="25"/>
      <c r="AI603" s="25"/>
      <c r="AJ603" s="25"/>
      <c r="AK603" s="25"/>
      <c r="AL603" s="25"/>
      <c r="AM603" s="25"/>
      <c r="AN603" s="25"/>
      <c r="AO603" s="26"/>
    </row>
    <row r="604" spans="3:41" x14ac:dyDescent="0.25">
      <c r="C604" s="22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  <c r="AA604" s="25"/>
      <c r="AB604" s="25"/>
      <c r="AC604" s="25"/>
      <c r="AD604" s="25"/>
      <c r="AE604" s="25"/>
      <c r="AF604" s="25"/>
      <c r="AG604" s="25"/>
      <c r="AH604" s="25"/>
      <c r="AI604" s="25"/>
      <c r="AJ604" s="25"/>
      <c r="AK604" s="25"/>
      <c r="AL604" s="25"/>
      <c r="AM604" s="25"/>
      <c r="AN604" s="25"/>
      <c r="AO604" s="26"/>
    </row>
    <row r="605" spans="3:41" x14ac:dyDescent="0.25">
      <c r="C605" s="22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  <c r="AA605" s="25"/>
      <c r="AB605" s="25"/>
      <c r="AC605" s="25"/>
      <c r="AD605" s="25"/>
      <c r="AE605" s="25"/>
      <c r="AF605" s="25"/>
      <c r="AG605" s="25"/>
      <c r="AH605" s="25"/>
      <c r="AI605" s="25"/>
      <c r="AJ605" s="25"/>
      <c r="AK605" s="25"/>
      <c r="AL605" s="25"/>
      <c r="AM605" s="25"/>
      <c r="AN605" s="25"/>
      <c r="AO605" s="26"/>
    </row>
    <row r="606" spans="3:41" x14ac:dyDescent="0.25">
      <c r="C606" s="22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  <c r="AA606" s="25"/>
      <c r="AB606" s="25"/>
      <c r="AC606" s="25"/>
      <c r="AD606" s="25"/>
      <c r="AE606" s="25"/>
      <c r="AF606" s="25"/>
      <c r="AG606" s="25"/>
      <c r="AH606" s="25"/>
      <c r="AI606" s="25"/>
      <c r="AJ606" s="25"/>
      <c r="AK606" s="25"/>
      <c r="AL606" s="25"/>
      <c r="AM606" s="25"/>
      <c r="AN606" s="25"/>
      <c r="AO606" s="26"/>
    </row>
    <row r="607" spans="3:41" x14ac:dyDescent="0.25">
      <c r="C607" s="22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  <c r="AA607" s="25"/>
      <c r="AB607" s="25"/>
      <c r="AC607" s="25"/>
      <c r="AD607" s="25"/>
      <c r="AE607" s="25"/>
      <c r="AF607" s="25"/>
      <c r="AG607" s="25"/>
      <c r="AH607" s="25"/>
      <c r="AI607" s="25"/>
      <c r="AJ607" s="25"/>
      <c r="AK607" s="25"/>
      <c r="AL607" s="25"/>
      <c r="AM607" s="25"/>
      <c r="AN607" s="25"/>
      <c r="AO607" s="26"/>
    </row>
    <row r="608" spans="3:41" x14ac:dyDescent="0.25">
      <c r="C608" s="22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  <c r="AA608" s="25"/>
      <c r="AB608" s="25"/>
      <c r="AC608" s="25"/>
      <c r="AD608" s="25"/>
      <c r="AE608" s="25"/>
      <c r="AF608" s="25"/>
      <c r="AG608" s="25"/>
      <c r="AH608" s="25"/>
      <c r="AI608" s="25"/>
      <c r="AJ608" s="25"/>
      <c r="AK608" s="25"/>
      <c r="AL608" s="25"/>
      <c r="AM608" s="25"/>
      <c r="AN608" s="25"/>
      <c r="AO608" s="26"/>
    </row>
    <row r="609" spans="3:41" x14ac:dyDescent="0.25">
      <c r="C609" s="22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  <c r="AA609" s="25"/>
      <c r="AB609" s="25"/>
      <c r="AC609" s="25"/>
      <c r="AD609" s="25"/>
      <c r="AE609" s="25"/>
      <c r="AF609" s="25"/>
      <c r="AG609" s="25"/>
      <c r="AH609" s="25"/>
      <c r="AI609" s="25"/>
      <c r="AJ609" s="25"/>
      <c r="AK609" s="25"/>
      <c r="AL609" s="25"/>
      <c r="AM609" s="25"/>
      <c r="AN609" s="25"/>
      <c r="AO609" s="26"/>
    </row>
    <row r="610" spans="3:41" x14ac:dyDescent="0.25">
      <c r="C610" s="22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  <c r="AA610" s="25"/>
      <c r="AB610" s="25"/>
      <c r="AC610" s="25"/>
      <c r="AD610" s="25"/>
      <c r="AE610" s="25"/>
      <c r="AF610" s="25"/>
      <c r="AG610" s="25"/>
      <c r="AH610" s="25"/>
      <c r="AI610" s="25"/>
      <c r="AJ610" s="25"/>
      <c r="AK610" s="25"/>
      <c r="AL610" s="25"/>
      <c r="AM610" s="25"/>
      <c r="AN610" s="25"/>
      <c r="AO610" s="26"/>
    </row>
    <row r="611" spans="3:41" x14ac:dyDescent="0.25">
      <c r="C611" s="22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  <c r="AA611" s="25"/>
      <c r="AB611" s="25"/>
      <c r="AC611" s="25"/>
      <c r="AD611" s="25"/>
      <c r="AE611" s="25"/>
      <c r="AF611" s="25"/>
      <c r="AG611" s="25"/>
      <c r="AH611" s="25"/>
      <c r="AI611" s="25"/>
      <c r="AJ611" s="25"/>
      <c r="AK611" s="25"/>
      <c r="AL611" s="25"/>
      <c r="AM611" s="25"/>
      <c r="AN611" s="25"/>
      <c r="AO611" s="26"/>
    </row>
    <row r="612" spans="3:41" x14ac:dyDescent="0.25">
      <c r="C612" s="22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  <c r="AA612" s="25"/>
      <c r="AB612" s="25"/>
      <c r="AC612" s="25"/>
      <c r="AD612" s="25"/>
      <c r="AE612" s="25"/>
      <c r="AF612" s="25"/>
      <c r="AG612" s="25"/>
      <c r="AH612" s="25"/>
      <c r="AI612" s="25"/>
      <c r="AJ612" s="25"/>
      <c r="AK612" s="25"/>
      <c r="AL612" s="25"/>
      <c r="AM612" s="25"/>
      <c r="AN612" s="25"/>
      <c r="AO612" s="26"/>
    </row>
    <row r="613" spans="3:41" x14ac:dyDescent="0.25">
      <c r="C613" s="22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  <c r="AA613" s="25"/>
      <c r="AB613" s="25"/>
      <c r="AC613" s="25"/>
      <c r="AD613" s="25"/>
      <c r="AE613" s="25"/>
      <c r="AF613" s="25"/>
      <c r="AG613" s="25"/>
      <c r="AH613" s="25"/>
      <c r="AI613" s="25"/>
      <c r="AJ613" s="25"/>
      <c r="AK613" s="25"/>
      <c r="AL613" s="25"/>
      <c r="AM613" s="25"/>
      <c r="AN613" s="25"/>
      <c r="AO613" s="26"/>
    </row>
    <row r="614" spans="3:41" x14ac:dyDescent="0.25">
      <c r="C614" s="22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  <c r="AA614" s="25"/>
      <c r="AB614" s="25"/>
      <c r="AC614" s="25"/>
      <c r="AD614" s="25"/>
      <c r="AE614" s="25"/>
      <c r="AF614" s="25"/>
      <c r="AG614" s="25"/>
      <c r="AH614" s="25"/>
      <c r="AI614" s="25"/>
      <c r="AJ614" s="25"/>
      <c r="AK614" s="25"/>
      <c r="AL614" s="25"/>
      <c r="AM614" s="25"/>
      <c r="AN614" s="25"/>
      <c r="AO614" s="26"/>
    </row>
    <row r="615" spans="3:41" x14ac:dyDescent="0.25">
      <c r="C615" s="22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  <c r="AA615" s="25"/>
      <c r="AB615" s="25"/>
      <c r="AC615" s="25"/>
      <c r="AD615" s="25"/>
      <c r="AE615" s="25"/>
      <c r="AF615" s="25"/>
      <c r="AG615" s="25"/>
      <c r="AH615" s="25"/>
      <c r="AI615" s="25"/>
      <c r="AJ615" s="25"/>
      <c r="AK615" s="25"/>
      <c r="AL615" s="25"/>
      <c r="AM615" s="25"/>
      <c r="AN615" s="25"/>
      <c r="AO615" s="26"/>
    </row>
    <row r="616" spans="3:41" x14ac:dyDescent="0.25">
      <c r="C616" s="22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  <c r="AA616" s="25"/>
      <c r="AB616" s="25"/>
      <c r="AC616" s="25"/>
      <c r="AD616" s="25"/>
      <c r="AE616" s="25"/>
      <c r="AF616" s="25"/>
      <c r="AG616" s="25"/>
      <c r="AH616" s="25"/>
      <c r="AI616" s="25"/>
      <c r="AJ616" s="25"/>
      <c r="AK616" s="25"/>
      <c r="AL616" s="25"/>
      <c r="AM616" s="25"/>
      <c r="AN616" s="25"/>
      <c r="AO616" s="26"/>
    </row>
    <row r="617" spans="3:41" x14ac:dyDescent="0.25">
      <c r="C617" s="22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  <c r="AA617" s="25"/>
      <c r="AB617" s="25"/>
      <c r="AC617" s="25"/>
      <c r="AD617" s="25"/>
      <c r="AE617" s="25"/>
      <c r="AF617" s="25"/>
      <c r="AG617" s="25"/>
      <c r="AH617" s="25"/>
      <c r="AI617" s="25"/>
      <c r="AJ617" s="25"/>
      <c r="AK617" s="25"/>
      <c r="AL617" s="25"/>
      <c r="AM617" s="25"/>
      <c r="AN617" s="25"/>
      <c r="AO617" s="26"/>
    </row>
    <row r="618" spans="3:41" x14ac:dyDescent="0.25">
      <c r="C618" s="22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  <c r="AA618" s="25"/>
      <c r="AB618" s="25"/>
      <c r="AC618" s="25"/>
      <c r="AD618" s="25"/>
      <c r="AE618" s="25"/>
      <c r="AF618" s="25"/>
      <c r="AG618" s="25"/>
      <c r="AH618" s="25"/>
      <c r="AI618" s="25"/>
      <c r="AJ618" s="25"/>
      <c r="AK618" s="25"/>
      <c r="AL618" s="25"/>
      <c r="AM618" s="25"/>
      <c r="AN618" s="25"/>
      <c r="AO618" s="26"/>
    </row>
    <row r="619" spans="3:41" x14ac:dyDescent="0.25">
      <c r="C619" s="22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  <c r="AA619" s="25"/>
      <c r="AB619" s="25"/>
      <c r="AC619" s="25"/>
      <c r="AD619" s="25"/>
      <c r="AE619" s="25"/>
      <c r="AF619" s="25"/>
      <c r="AG619" s="25"/>
      <c r="AH619" s="25"/>
      <c r="AI619" s="25"/>
      <c r="AJ619" s="25"/>
      <c r="AK619" s="25"/>
      <c r="AL619" s="25"/>
      <c r="AM619" s="25"/>
      <c r="AN619" s="25"/>
      <c r="AO619" s="26"/>
    </row>
    <row r="620" spans="3:41" x14ac:dyDescent="0.25">
      <c r="C620" s="22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  <c r="AA620" s="25"/>
      <c r="AB620" s="25"/>
      <c r="AC620" s="25"/>
      <c r="AD620" s="25"/>
      <c r="AE620" s="25"/>
      <c r="AF620" s="25"/>
      <c r="AG620" s="25"/>
      <c r="AH620" s="25"/>
      <c r="AI620" s="25"/>
      <c r="AJ620" s="25"/>
      <c r="AK620" s="25"/>
      <c r="AL620" s="25"/>
      <c r="AM620" s="25"/>
      <c r="AN620" s="25"/>
      <c r="AO620" s="26"/>
    </row>
    <row r="621" spans="3:41" x14ac:dyDescent="0.25">
      <c r="C621" s="22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  <c r="AA621" s="25"/>
      <c r="AB621" s="25"/>
      <c r="AC621" s="25"/>
      <c r="AD621" s="25"/>
      <c r="AE621" s="25"/>
      <c r="AF621" s="25"/>
      <c r="AG621" s="25"/>
      <c r="AH621" s="25"/>
      <c r="AI621" s="25"/>
      <c r="AJ621" s="25"/>
      <c r="AK621" s="25"/>
      <c r="AL621" s="25"/>
      <c r="AM621" s="25"/>
      <c r="AN621" s="25"/>
      <c r="AO621" s="26"/>
    </row>
    <row r="622" spans="3:41" x14ac:dyDescent="0.25">
      <c r="C622" s="22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  <c r="AA622" s="25"/>
      <c r="AB622" s="25"/>
      <c r="AC622" s="25"/>
      <c r="AD622" s="25"/>
      <c r="AE622" s="25"/>
      <c r="AF622" s="25"/>
      <c r="AG622" s="25"/>
      <c r="AH622" s="25"/>
      <c r="AI622" s="25"/>
      <c r="AJ622" s="25"/>
      <c r="AK622" s="25"/>
      <c r="AL622" s="25"/>
      <c r="AM622" s="25"/>
      <c r="AN622" s="25"/>
      <c r="AO622" s="26"/>
    </row>
    <row r="623" spans="3:41" x14ac:dyDescent="0.25">
      <c r="C623" s="22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  <c r="AA623" s="25"/>
      <c r="AB623" s="25"/>
      <c r="AC623" s="25"/>
      <c r="AD623" s="25"/>
      <c r="AE623" s="25"/>
      <c r="AF623" s="25"/>
      <c r="AG623" s="25"/>
      <c r="AH623" s="25"/>
      <c r="AI623" s="25"/>
      <c r="AJ623" s="25"/>
      <c r="AK623" s="25"/>
      <c r="AL623" s="25"/>
      <c r="AM623" s="25"/>
      <c r="AN623" s="25"/>
      <c r="AO623" s="26"/>
    </row>
    <row r="624" spans="3:41" x14ac:dyDescent="0.25">
      <c r="C624" s="22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  <c r="AA624" s="25"/>
      <c r="AB624" s="25"/>
      <c r="AC624" s="25"/>
      <c r="AD624" s="25"/>
      <c r="AE624" s="25"/>
      <c r="AF624" s="25"/>
      <c r="AG624" s="25"/>
      <c r="AH624" s="25"/>
      <c r="AI624" s="25"/>
      <c r="AJ624" s="25"/>
      <c r="AK624" s="25"/>
      <c r="AL624" s="25"/>
      <c r="AM624" s="25"/>
      <c r="AN624" s="25"/>
      <c r="AO624" s="26"/>
    </row>
    <row r="625" spans="3:41" x14ac:dyDescent="0.25">
      <c r="C625" s="22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  <c r="AA625" s="25"/>
      <c r="AB625" s="25"/>
      <c r="AC625" s="25"/>
      <c r="AD625" s="25"/>
      <c r="AE625" s="25"/>
      <c r="AF625" s="25"/>
      <c r="AG625" s="25"/>
      <c r="AH625" s="25"/>
      <c r="AI625" s="25"/>
      <c r="AJ625" s="25"/>
      <c r="AK625" s="25"/>
      <c r="AL625" s="25"/>
      <c r="AM625" s="25"/>
      <c r="AN625" s="25"/>
      <c r="AO625" s="26"/>
    </row>
    <row r="626" spans="3:41" x14ac:dyDescent="0.25">
      <c r="C626" s="22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  <c r="AA626" s="25"/>
      <c r="AB626" s="25"/>
      <c r="AC626" s="25"/>
      <c r="AD626" s="25"/>
      <c r="AE626" s="25"/>
      <c r="AF626" s="25"/>
      <c r="AG626" s="25"/>
      <c r="AH626" s="25"/>
      <c r="AI626" s="25"/>
      <c r="AJ626" s="25"/>
      <c r="AK626" s="25"/>
      <c r="AL626" s="25"/>
      <c r="AM626" s="25"/>
      <c r="AN626" s="25"/>
      <c r="AO626" s="26"/>
    </row>
    <row r="627" spans="3:41" x14ac:dyDescent="0.25">
      <c r="C627" s="22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  <c r="AA627" s="25"/>
      <c r="AB627" s="25"/>
      <c r="AC627" s="25"/>
      <c r="AD627" s="25"/>
      <c r="AE627" s="25"/>
      <c r="AF627" s="25"/>
      <c r="AG627" s="25"/>
      <c r="AH627" s="25"/>
      <c r="AI627" s="25"/>
      <c r="AJ627" s="25"/>
      <c r="AK627" s="25"/>
      <c r="AL627" s="25"/>
      <c r="AM627" s="25"/>
      <c r="AN627" s="25"/>
      <c r="AO627" s="26"/>
    </row>
    <row r="628" spans="3:41" x14ac:dyDescent="0.25">
      <c r="C628" s="22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  <c r="AA628" s="25"/>
      <c r="AB628" s="25"/>
      <c r="AC628" s="25"/>
      <c r="AD628" s="25"/>
      <c r="AE628" s="25"/>
      <c r="AF628" s="25"/>
      <c r="AG628" s="25"/>
      <c r="AH628" s="25"/>
      <c r="AI628" s="25"/>
      <c r="AJ628" s="25"/>
      <c r="AK628" s="25"/>
      <c r="AL628" s="25"/>
      <c r="AM628" s="25"/>
      <c r="AN628" s="25"/>
      <c r="AO628" s="26"/>
    </row>
    <row r="629" spans="3:41" x14ac:dyDescent="0.25">
      <c r="C629" s="22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  <c r="AA629" s="25"/>
      <c r="AB629" s="25"/>
      <c r="AC629" s="25"/>
      <c r="AD629" s="25"/>
      <c r="AE629" s="25"/>
      <c r="AF629" s="25"/>
      <c r="AG629" s="25"/>
      <c r="AH629" s="25"/>
      <c r="AI629" s="25"/>
      <c r="AJ629" s="25"/>
      <c r="AK629" s="25"/>
      <c r="AL629" s="25"/>
      <c r="AM629" s="25"/>
      <c r="AN629" s="25"/>
      <c r="AO629" s="26"/>
    </row>
    <row r="630" spans="3:41" x14ac:dyDescent="0.25">
      <c r="C630" s="22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  <c r="AA630" s="25"/>
      <c r="AB630" s="25"/>
      <c r="AC630" s="25"/>
      <c r="AD630" s="25"/>
      <c r="AE630" s="25"/>
      <c r="AF630" s="25"/>
      <c r="AG630" s="25"/>
      <c r="AH630" s="25"/>
      <c r="AI630" s="25"/>
      <c r="AJ630" s="25"/>
      <c r="AK630" s="25"/>
      <c r="AL630" s="25"/>
      <c r="AM630" s="25"/>
      <c r="AN630" s="25"/>
      <c r="AO630" s="26"/>
    </row>
    <row r="631" spans="3:41" x14ac:dyDescent="0.25">
      <c r="C631" s="22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  <c r="AA631" s="25"/>
      <c r="AB631" s="25"/>
      <c r="AC631" s="25"/>
      <c r="AD631" s="25"/>
      <c r="AE631" s="25"/>
      <c r="AF631" s="25"/>
      <c r="AG631" s="25"/>
      <c r="AH631" s="25"/>
      <c r="AI631" s="25"/>
      <c r="AJ631" s="25"/>
      <c r="AK631" s="25"/>
      <c r="AL631" s="25"/>
      <c r="AM631" s="25"/>
      <c r="AN631" s="25"/>
      <c r="AO631" s="26"/>
    </row>
    <row r="632" spans="3:41" x14ac:dyDescent="0.25">
      <c r="C632" s="22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  <c r="AA632" s="25"/>
      <c r="AB632" s="25"/>
      <c r="AC632" s="25"/>
      <c r="AD632" s="25"/>
      <c r="AE632" s="25"/>
      <c r="AF632" s="25"/>
      <c r="AG632" s="25"/>
      <c r="AH632" s="25"/>
      <c r="AI632" s="25"/>
      <c r="AJ632" s="25"/>
      <c r="AK632" s="25"/>
      <c r="AL632" s="25"/>
      <c r="AM632" s="25"/>
      <c r="AN632" s="25"/>
      <c r="AO632" s="26"/>
    </row>
    <row r="633" spans="3:41" x14ac:dyDescent="0.25">
      <c r="C633" s="22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  <c r="AA633" s="25"/>
      <c r="AB633" s="25"/>
      <c r="AC633" s="25"/>
      <c r="AD633" s="25"/>
      <c r="AE633" s="25"/>
      <c r="AF633" s="25"/>
      <c r="AG633" s="25"/>
      <c r="AH633" s="25"/>
      <c r="AI633" s="25"/>
      <c r="AJ633" s="25"/>
      <c r="AK633" s="25"/>
      <c r="AL633" s="25"/>
      <c r="AM633" s="25"/>
      <c r="AN633" s="25"/>
      <c r="AO633" s="26"/>
    </row>
    <row r="634" spans="3:41" x14ac:dyDescent="0.25">
      <c r="C634" s="22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  <c r="AA634" s="25"/>
      <c r="AB634" s="25"/>
      <c r="AC634" s="25"/>
      <c r="AD634" s="25"/>
      <c r="AE634" s="25"/>
      <c r="AF634" s="25"/>
      <c r="AG634" s="25"/>
      <c r="AH634" s="25"/>
      <c r="AI634" s="25"/>
      <c r="AJ634" s="25"/>
      <c r="AK634" s="25"/>
      <c r="AL634" s="25"/>
      <c r="AM634" s="25"/>
      <c r="AN634" s="25"/>
      <c r="AO634" s="26"/>
    </row>
    <row r="635" spans="3:41" x14ac:dyDescent="0.25">
      <c r="C635" s="22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  <c r="AA635" s="25"/>
      <c r="AB635" s="25"/>
      <c r="AC635" s="25"/>
      <c r="AD635" s="25"/>
      <c r="AE635" s="25"/>
      <c r="AF635" s="25"/>
      <c r="AG635" s="25"/>
      <c r="AH635" s="25"/>
      <c r="AI635" s="25"/>
      <c r="AJ635" s="25"/>
      <c r="AK635" s="25"/>
      <c r="AL635" s="25"/>
      <c r="AM635" s="25"/>
      <c r="AN635" s="25"/>
      <c r="AO635" s="26"/>
    </row>
    <row r="636" spans="3:41" x14ac:dyDescent="0.25">
      <c r="C636" s="22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  <c r="AA636" s="25"/>
      <c r="AB636" s="25"/>
      <c r="AC636" s="25"/>
      <c r="AD636" s="25"/>
      <c r="AE636" s="25"/>
      <c r="AF636" s="25"/>
      <c r="AG636" s="25"/>
      <c r="AH636" s="25"/>
      <c r="AI636" s="25"/>
      <c r="AJ636" s="25"/>
      <c r="AK636" s="25"/>
      <c r="AL636" s="25"/>
      <c r="AM636" s="25"/>
      <c r="AN636" s="25"/>
      <c r="AO636" s="26"/>
    </row>
    <row r="637" spans="3:41" x14ac:dyDescent="0.25">
      <c r="C637" s="22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  <c r="AA637" s="25"/>
      <c r="AB637" s="25"/>
      <c r="AC637" s="25"/>
      <c r="AD637" s="25"/>
      <c r="AE637" s="25"/>
      <c r="AF637" s="25"/>
      <c r="AG637" s="25"/>
      <c r="AH637" s="25"/>
      <c r="AI637" s="25"/>
      <c r="AJ637" s="25"/>
      <c r="AK637" s="25"/>
      <c r="AL637" s="25"/>
      <c r="AM637" s="25"/>
      <c r="AN637" s="25"/>
      <c r="AO637" s="26"/>
    </row>
    <row r="638" spans="3:41" x14ac:dyDescent="0.25">
      <c r="C638" s="22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  <c r="AA638" s="25"/>
      <c r="AB638" s="25"/>
      <c r="AC638" s="25"/>
      <c r="AD638" s="25"/>
      <c r="AE638" s="25"/>
      <c r="AF638" s="25"/>
      <c r="AG638" s="25"/>
      <c r="AH638" s="25"/>
      <c r="AI638" s="25"/>
      <c r="AJ638" s="25"/>
      <c r="AK638" s="25"/>
      <c r="AL638" s="25"/>
      <c r="AM638" s="25"/>
      <c r="AN638" s="25"/>
      <c r="AO638" s="26"/>
    </row>
    <row r="639" spans="3:41" x14ac:dyDescent="0.25">
      <c r="C639" s="22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  <c r="AA639" s="25"/>
      <c r="AB639" s="25"/>
      <c r="AC639" s="25"/>
      <c r="AD639" s="25"/>
      <c r="AE639" s="25"/>
      <c r="AF639" s="25"/>
      <c r="AG639" s="25"/>
      <c r="AH639" s="25"/>
      <c r="AI639" s="25"/>
      <c r="AJ639" s="25"/>
      <c r="AK639" s="25"/>
      <c r="AL639" s="25"/>
      <c r="AM639" s="25"/>
      <c r="AN639" s="25"/>
      <c r="AO639" s="26"/>
    </row>
    <row r="640" spans="3:41" x14ac:dyDescent="0.25">
      <c r="C640" s="22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  <c r="AA640" s="25"/>
      <c r="AB640" s="25"/>
      <c r="AC640" s="25"/>
      <c r="AD640" s="25"/>
      <c r="AE640" s="25"/>
      <c r="AF640" s="25"/>
      <c r="AG640" s="25"/>
      <c r="AH640" s="25"/>
      <c r="AI640" s="25"/>
      <c r="AJ640" s="25"/>
      <c r="AK640" s="25"/>
      <c r="AL640" s="25"/>
      <c r="AM640" s="25"/>
      <c r="AN640" s="25"/>
      <c r="AO640" s="26"/>
    </row>
    <row r="641" spans="3:41" x14ac:dyDescent="0.25">
      <c r="C641" s="22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  <c r="AA641" s="25"/>
      <c r="AB641" s="25"/>
      <c r="AC641" s="25"/>
      <c r="AD641" s="25"/>
      <c r="AE641" s="25"/>
      <c r="AF641" s="25"/>
      <c r="AG641" s="25"/>
      <c r="AH641" s="25"/>
      <c r="AI641" s="25"/>
      <c r="AJ641" s="25"/>
      <c r="AK641" s="25"/>
      <c r="AL641" s="25"/>
      <c r="AM641" s="25"/>
      <c r="AN641" s="25"/>
      <c r="AO641" s="26"/>
    </row>
    <row r="642" spans="3:41" x14ac:dyDescent="0.25">
      <c r="C642" s="22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  <c r="AA642" s="25"/>
      <c r="AB642" s="25"/>
      <c r="AC642" s="25"/>
      <c r="AD642" s="25"/>
      <c r="AE642" s="25"/>
      <c r="AF642" s="25"/>
      <c r="AG642" s="25"/>
      <c r="AH642" s="25"/>
      <c r="AI642" s="25"/>
      <c r="AJ642" s="25"/>
      <c r="AK642" s="25"/>
      <c r="AL642" s="25"/>
      <c r="AM642" s="25"/>
      <c r="AN642" s="25"/>
      <c r="AO642" s="26"/>
    </row>
    <row r="643" spans="3:41" x14ac:dyDescent="0.25">
      <c r="C643" s="22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  <c r="AA643" s="25"/>
      <c r="AB643" s="25"/>
      <c r="AC643" s="25"/>
      <c r="AD643" s="25"/>
      <c r="AE643" s="25"/>
      <c r="AF643" s="25"/>
      <c r="AG643" s="25"/>
      <c r="AH643" s="25"/>
      <c r="AI643" s="25"/>
      <c r="AJ643" s="25"/>
      <c r="AK643" s="25"/>
      <c r="AL643" s="25"/>
      <c r="AM643" s="25"/>
      <c r="AN643" s="25"/>
      <c r="AO643" s="26"/>
    </row>
    <row r="644" spans="3:41" x14ac:dyDescent="0.25">
      <c r="C644" s="22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  <c r="AA644" s="25"/>
      <c r="AB644" s="25"/>
      <c r="AC644" s="25"/>
      <c r="AD644" s="25"/>
      <c r="AE644" s="25"/>
      <c r="AF644" s="25"/>
      <c r="AG644" s="25"/>
      <c r="AH644" s="25"/>
      <c r="AI644" s="25"/>
      <c r="AJ644" s="25"/>
      <c r="AK644" s="25"/>
      <c r="AL644" s="25"/>
      <c r="AM644" s="25"/>
      <c r="AN644" s="25"/>
      <c r="AO644" s="26"/>
    </row>
    <row r="645" spans="3:41" x14ac:dyDescent="0.25">
      <c r="C645" s="22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  <c r="AA645" s="25"/>
      <c r="AB645" s="25"/>
      <c r="AC645" s="25"/>
      <c r="AD645" s="25"/>
      <c r="AE645" s="25"/>
      <c r="AF645" s="25"/>
      <c r="AG645" s="25"/>
      <c r="AH645" s="25"/>
      <c r="AI645" s="25"/>
      <c r="AJ645" s="25"/>
      <c r="AK645" s="25"/>
      <c r="AL645" s="25"/>
      <c r="AM645" s="25"/>
      <c r="AN645" s="25"/>
      <c r="AO645" s="26"/>
    </row>
    <row r="646" spans="3:41" x14ac:dyDescent="0.25">
      <c r="C646" s="22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  <c r="AA646" s="25"/>
      <c r="AB646" s="25"/>
      <c r="AC646" s="25"/>
      <c r="AD646" s="25"/>
      <c r="AE646" s="25"/>
      <c r="AF646" s="25"/>
      <c r="AG646" s="25"/>
      <c r="AH646" s="25"/>
      <c r="AI646" s="25"/>
      <c r="AJ646" s="25"/>
      <c r="AK646" s="25"/>
      <c r="AL646" s="25"/>
      <c r="AM646" s="25"/>
      <c r="AN646" s="25"/>
      <c r="AO646" s="26"/>
    </row>
    <row r="647" spans="3:41" x14ac:dyDescent="0.25">
      <c r="C647" s="22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  <c r="AA647" s="25"/>
      <c r="AB647" s="25"/>
      <c r="AC647" s="25"/>
      <c r="AD647" s="25"/>
      <c r="AE647" s="25"/>
      <c r="AF647" s="25"/>
      <c r="AG647" s="25"/>
      <c r="AH647" s="25"/>
      <c r="AI647" s="25"/>
      <c r="AJ647" s="25"/>
      <c r="AK647" s="25"/>
      <c r="AL647" s="25"/>
      <c r="AM647" s="25"/>
      <c r="AN647" s="25"/>
      <c r="AO647" s="26"/>
    </row>
    <row r="648" spans="3:41" x14ac:dyDescent="0.25">
      <c r="C648" s="22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  <c r="AA648" s="25"/>
      <c r="AB648" s="25"/>
      <c r="AC648" s="25"/>
      <c r="AD648" s="25"/>
      <c r="AE648" s="25"/>
      <c r="AF648" s="25"/>
      <c r="AG648" s="25"/>
      <c r="AH648" s="25"/>
      <c r="AI648" s="25"/>
      <c r="AJ648" s="25"/>
      <c r="AK648" s="25"/>
      <c r="AL648" s="25"/>
      <c r="AM648" s="25"/>
      <c r="AN648" s="25"/>
      <c r="AO648" s="26"/>
    </row>
    <row r="649" spans="3:41" x14ac:dyDescent="0.25">
      <c r="C649" s="22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  <c r="AA649" s="25"/>
      <c r="AB649" s="25"/>
      <c r="AC649" s="25"/>
      <c r="AD649" s="25"/>
      <c r="AE649" s="25"/>
      <c r="AF649" s="25"/>
      <c r="AG649" s="25"/>
      <c r="AH649" s="25"/>
      <c r="AI649" s="25"/>
      <c r="AJ649" s="25"/>
      <c r="AK649" s="25"/>
      <c r="AL649" s="25"/>
      <c r="AM649" s="25"/>
      <c r="AN649" s="25"/>
      <c r="AO649" s="26"/>
    </row>
    <row r="650" spans="3:41" x14ac:dyDescent="0.25">
      <c r="C650" s="22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  <c r="AA650" s="25"/>
      <c r="AB650" s="25"/>
      <c r="AC650" s="25"/>
      <c r="AD650" s="25"/>
      <c r="AE650" s="25"/>
      <c r="AF650" s="25"/>
      <c r="AG650" s="25"/>
      <c r="AH650" s="25"/>
      <c r="AI650" s="25"/>
      <c r="AJ650" s="25"/>
      <c r="AK650" s="25"/>
      <c r="AL650" s="25"/>
      <c r="AM650" s="25"/>
      <c r="AN650" s="25"/>
      <c r="AO650" s="26"/>
    </row>
    <row r="651" spans="3:41" x14ac:dyDescent="0.25">
      <c r="C651" s="22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  <c r="AA651" s="25"/>
      <c r="AB651" s="25"/>
      <c r="AC651" s="25"/>
      <c r="AD651" s="25"/>
      <c r="AE651" s="25"/>
      <c r="AF651" s="25"/>
      <c r="AG651" s="25"/>
      <c r="AH651" s="25"/>
      <c r="AI651" s="25"/>
      <c r="AJ651" s="25"/>
      <c r="AK651" s="25"/>
      <c r="AL651" s="25"/>
      <c r="AM651" s="25"/>
      <c r="AN651" s="25"/>
      <c r="AO651" s="26"/>
    </row>
    <row r="652" spans="3:41" x14ac:dyDescent="0.25">
      <c r="C652" s="22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  <c r="AA652" s="25"/>
      <c r="AB652" s="25"/>
      <c r="AC652" s="25"/>
      <c r="AD652" s="25"/>
      <c r="AE652" s="25"/>
      <c r="AF652" s="25"/>
      <c r="AG652" s="25"/>
      <c r="AH652" s="25"/>
      <c r="AI652" s="25"/>
      <c r="AJ652" s="25"/>
      <c r="AK652" s="25"/>
      <c r="AL652" s="25"/>
      <c r="AM652" s="25"/>
      <c r="AN652" s="25"/>
      <c r="AO652" s="26"/>
    </row>
    <row r="653" spans="3:41" x14ac:dyDescent="0.25">
      <c r="C653" s="22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  <c r="AA653" s="25"/>
      <c r="AB653" s="25"/>
      <c r="AC653" s="25"/>
      <c r="AD653" s="25"/>
      <c r="AE653" s="25"/>
      <c r="AF653" s="25"/>
      <c r="AG653" s="25"/>
      <c r="AH653" s="25"/>
      <c r="AI653" s="25"/>
      <c r="AJ653" s="25"/>
      <c r="AK653" s="25"/>
      <c r="AL653" s="25"/>
      <c r="AM653" s="25"/>
      <c r="AN653" s="25"/>
      <c r="AO653" s="26"/>
    </row>
    <row r="654" spans="3:41" x14ac:dyDescent="0.25">
      <c r="C654" s="22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  <c r="AA654" s="25"/>
      <c r="AB654" s="25"/>
      <c r="AC654" s="25"/>
      <c r="AD654" s="25"/>
      <c r="AE654" s="25"/>
      <c r="AF654" s="25"/>
      <c r="AG654" s="25"/>
      <c r="AH654" s="25"/>
      <c r="AI654" s="25"/>
      <c r="AJ654" s="25"/>
      <c r="AK654" s="25"/>
      <c r="AL654" s="25"/>
      <c r="AM654" s="25"/>
      <c r="AN654" s="25"/>
      <c r="AO654" s="26"/>
    </row>
    <row r="655" spans="3:41" x14ac:dyDescent="0.25">
      <c r="C655" s="22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  <c r="AA655" s="25"/>
      <c r="AB655" s="25"/>
      <c r="AC655" s="25"/>
      <c r="AD655" s="25"/>
      <c r="AE655" s="25"/>
      <c r="AF655" s="25"/>
      <c r="AG655" s="25"/>
      <c r="AH655" s="25"/>
      <c r="AI655" s="25"/>
      <c r="AJ655" s="25"/>
      <c r="AK655" s="25"/>
      <c r="AL655" s="25"/>
      <c r="AM655" s="25"/>
      <c r="AN655" s="25"/>
      <c r="AO655" s="26"/>
    </row>
    <row r="656" spans="3:41" x14ac:dyDescent="0.25">
      <c r="C656" s="22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  <c r="AA656" s="25"/>
      <c r="AB656" s="25"/>
      <c r="AC656" s="25"/>
      <c r="AD656" s="25"/>
      <c r="AE656" s="25"/>
      <c r="AF656" s="25"/>
      <c r="AG656" s="25"/>
      <c r="AH656" s="25"/>
      <c r="AI656" s="25"/>
      <c r="AJ656" s="25"/>
      <c r="AK656" s="25"/>
      <c r="AL656" s="25"/>
      <c r="AM656" s="25"/>
      <c r="AN656" s="25"/>
      <c r="AO656" s="26"/>
    </row>
    <row r="657" spans="3:41" x14ac:dyDescent="0.25">
      <c r="C657" s="22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  <c r="AA657" s="25"/>
      <c r="AB657" s="25"/>
      <c r="AC657" s="25"/>
      <c r="AD657" s="25"/>
      <c r="AE657" s="25"/>
      <c r="AF657" s="25"/>
      <c r="AG657" s="25"/>
      <c r="AH657" s="25"/>
      <c r="AI657" s="25"/>
      <c r="AJ657" s="25"/>
      <c r="AK657" s="25"/>
      <c r="AL657" s="25"/>
      <c r="AM657" s="25"/>
      <c r="AN657" s="25"/>
      <c r="AO657" s="26"/>
    </row>
    <row r="658" spans="3:41" x14ac:dyDescent="0.25">
      <c r="C658" s="22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  <c r="AA658" s="25"/>
      <c r="AB658" s="25"/>
      <c r="AC658" s="25"/>
      <c r="AD658" s="25"/>
      <c r="AE658" s="25"/>
      <c r="AF658" s="25"/>
      <c r="AG658" s="25"/>
      <c r="AH658" s="25"/>
      <c r="AI658" s="25"/>
      <c r="AJ658" s="25"/>
      <c r="AK658" s="25"/>
      <c r="AL658" s="25"/>
      <c r="AM658" s="25"/>
      <c r="AN658" s="25"/>
      <c r="AO658" s="26"/>
    </row>
    <row r="659" spans="3:41" x14ac:dyDescent="0.25">
      <c r="C659" s="22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  <c r="AA659" s="25"/>
      <c r="AB659" s="25"/>
      <c r="AC659" s="25"/>
      <c r="AD659" s="25"/>
      <c r="AE659" s="25"/>
      <c r="AF659" s="25"/>
      <c r="AG659" s="25"/>
      <c r="AH659" s="25"/>
      <c r="AI659" s="25"/>
      <c r="AJ659" s="25"/>
      <c r="AK659" s="25"/>
      <c r="AL659" s="25"/>
      <c r="AM659" s="25"/>
      <c r="AN659" s="25"/>
      <c r="AO659" s="26"/>
    </row>
    <row r="660" spans="3:41" x14ac:dyDescent="0.25">
      <c r="C660" s="22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  <c r="AA660" s="25"/>
      <c r="AB660" s="25"/>
      <c r="AC660" s="25"/>
      <c r="AD660" s="25"/>
      <c r="AE660" s="25"/>
      <c r="AF660" s="25"/>
      <c r="AG660" s="25"/>
      <c r="AH660" s="25"/>
      <c r="AI660" s="25"/>
      <c r="AJ660" s="25"/>
      <c r="AK660" s="25"/>
      <c r="AL660" s="25"/>
      <c r="AM660" s="25"/>
      <c r="AN660" s="25"/>
      <c r="AO660" s="26"/>
    </row>
    <row r="661" spans="3:41" x14ac:dyDescent="0.25">
      <c r="C661" s="22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  <c r="AA661" s="25"/>
      <c r="AB661" s="25"/>
      <c r="AC661" s="25"/>
      <c r="AD661" s="25"/>
      <c r="AE661" s="25"/>
      <c r="AF661" s="25"/>
      <c r="AG661" s="25"/>
      <c r="AH661" s="25"/>
      <c r="AI661" s="25"/>
      <c r="AJ661" s="25"/>
      <c r="AK661" s="25"/>
      <c r="AL661" s="25"/>
      <c r="AM661" s="25"/>
      <c r="AN661" s="25"/>
      <c r="AO661" s="26"/>
    </row>
    <row r="662" spans="3:41" x14ac:dyDescent="0.25">
      <c r="C662" s="22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  <c r="AA662" s="25"/>
      <c r="AB662" s="25"/>
      <c r="AC662" s="25"/>
      <c r="AD662" s="25"/>
      <c r="AE662" s="25"/>
      <c r="AF662" s="25"/>
      <c r="AG662" s="25"/>
      <c r="AH662" s="25"/>
      <c r="AI662" s="25"/>
      <c r="AJ662" s="25"/>
      <c r="AK662" s="25"/>
      <c r="AL662" s="25"/>
      <c r="AM662" s="25"/>
      <c r="AN662" s="25"/>
      <c r="AO662" s="26"/>
    </row>
    <row r="663" spans="3:41" x14ac:dyDescent="0.25">
      <c r="C663" s="22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  <c r="AA663" s="25"/>
      <c r="AB663" s="25"/>
      <c r="AC663" s="25"/>
      <c r="AD663" s="25"/>
      <c r="AE663" s="25"/>
      <c r="AF663" s="25"/>
      <c r="AG663" s="25"/>
      <c r="AH663" s="25"/>
      <c r="AI663" s="25"/>
      <c r="AJ663" s="25"/>
      <c r="AK663" s="25"/>
      <c r="AL663" s="25"/>
      <c r="AM663" s="25"/>
      <c r="AN663" s="25"/>
      <c r="AO663" s="26"/>
    </row>
    <row r="664" spans="3:41" x14ac:dyDescent="0.25">
      <c r="C664" s="22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  <c r="AA664" s="25"/>
      <c r="AB664" s="25"/>
      <c r="AC664" s="25"/>
      <c r="AD664" s="25"/>
      <c r="AE664" s="25"/>
      <c r="AF664" s="25"/>
      <c r="AG664" s="25"/>
      <c r="AH664" s="25"/>
      <c r="AI664" s="25"/>
      <c r="AJ664" s="25"/>
      <c r="AK664" s="25"/>
      <c r="AL664" s="25"/>
      <c r="AM664" s="25"/>
      <c r="AN664" s="25"/>
      <c r="AO664" s="26"/>
    </row>
    <row r="665" spans="3:41" x14ac:dyDescent="0.25">
      <c r="C665" s="22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  <c r="AA665" s="25"/>
      <c r="AB665" s="25"/>
      <c r="AC665" s="25"/>
      <c r="AD665" s="25"/>
      <c r="AE665" s="25"/>
      <c r="AF665" s="25"/>
      <c r="AG665" s="25"/>
      <c r="AH665" s="25"/>
      <c r="AI665" s="25"/>
      <c r="AJ665" s="25"/>
      <c r="AK665" s="25"/>
      <c r="AL665" s="25"/>
      <c r="AM665" s="25"/>
      <c r="AN665" s="25"/>
      <c r="AO665" s="26"/>
    </row>
    <row r="666" spans="3:41" x14ac:dyDescent="0.25">
      <c r="C666" s="22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  <c r="AA666" s="25"/>
      <c r="AB666" s="25"/>
      <c r="AC666" s="25"/>
      <c r="AD666" s="25"/>
      <c r="AE666" s="25"/>
      <c r="AF666" s="25"/>
      <c r="AG666" s="25"/>
      <c r="AH666" s="25"/>
      <c r="AI666" s="25"/>
      <c r="AJ666" s="25"/>
      <c r="AK666" s="25"/>
      <c r="AL666" s="25"/>
      <c r="AM666" s="25"/>
      <c r="AN666" s="25"/>
      <c r="AO666" s="26"/>
    </row>
    <row r="667" spans="3:41" x14ac:dyDescent="0.25">
      <c r="C667" s="22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  <c r="AA667" s="25"/>
      <c r="AB667" s="25"/>
      <c r="AC667" s="25"/>
      <c r="AD667" s="25"/>
      <c r="AE667" s="25"/>
      <c r="AF667" s="25"/>
      <c r="AG667" s="25"/>
      <c r="AH667" s="25"/>
      <c r="AI667" s="25"/>
      <c r="AJ667" s="25"/>
      <c r="AK667" s="25"/>
      <c r="AL667" s="25"/>
      <c r="AM667" s="25"/>
      <c r="AN667" s="25"/>
      <c r="AO667" s="26"/>
    </row>
    <row r="668" spans="3:41" x14ac:dyDescent="0.25">
      <c r="C668" s="22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  <c r="AA668" s="25"/>
      <c r="AB668" s="25"/>
      <c r="AC668" s="25"/>
      <c r="AD668" s="25"/>
      <c r="AE668" s="25"/>
      <c r="AF668" s="25"/>
      <c r="AG668" s="25"/>
      <c r="AH668" s="25"/>
      <c r="AI668" s="25"/>
      <c r="AJ668" s="25"/>
      <c r="AK668" s="25"/>
      <c r="AL668" s="25"/>
      <c r="AM668" s="25"/>
      <c r="AN668" s="25"/>
      <c r="AO668" s="26"/>
    </row>
    <row r="669" spans="3:41" x14ac:dyDescent="0.25">
      <c r="C669" s="22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  <c r="AA669" s="25"/>
      <c r="AB669" s="25"/>
      <c r="AC669" s="25"/>
      <c r="AD669" s="25"/>
      <c r="AE669" s="25"/>
      <c r="AF669" s="25"/>
      <c r="AG669" s="25"/>
      <c r="AH669" s="25"/>
      <c r="AI669" s="25"/>
      <c r="AJ669" s="25"/>
      <c r="AK669" s="25"/>
      <c r="AL669" s="25"/>
      <c r="AM669" s="25"/>
      <c r="AN669" s="25"/>
      <c r="AO669" s="26"/>
    </row>
    <row r="670" spans="3:41" x14ac:dyDescent="0.25">
      <c r="C670" s="22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  <c r="AA670" s="25"/>
      <c r="AB670" s="25"/>
      <c r="AC670" s="25"/>
      <c r="AD670" s="25"/>
      <c r="AE670" s="25"/>
      <c r="AF670" s="25"/>
      <c r="AG670" s="25"/>
      <c r="AH670" s="25"/>
      <c r="AI670" s="25"/>
      <c r="AJ670" s="25"/>
      <c r="AK670" s="25"/>
      <c r="AL670" s="25"/>
      <c r="AM670" s="25"/>
      <c r="AN670" s="25"/>
      <c r="AO670" s="26"/>
    </row>
    <row r="671" spans="3:41" x14ac:dyDescent="0.25">
      <c r="C671" s="22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  <c r="AA671" s="25"/>
      <c r="AB671" s="25"/>
      <c r="AC671" s="25"/>
      <c r="AD671" s="25"/>
      <c r="AE671" s="25"/>
      <c r="AF671" s="25"/>
      <c r="AG671" s="25"/>
      <c r="AH671" s="25"/>
      <c r="AI671" s="25"/>
      <c r="AJ671" s="25"/>
      <c r="AK671" s="25"/>
      <c r="AL671" s="25"/>
      <c r="AM671" s="25"/>
      <c r="AN671" s="25"/>
      <c r="AO671" s="26"/>
    </row>
    <row r="672" spans="3:41" x14ac:dyDescent="0.25">
      <c r="C672" s="22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  <c r="AA672" s="25"/>
      <c r="AB672" s="25"/>
      <c r="AC672" s="25"/>
      <c r="AD672" s="25"/>
      <c r="AE672" s="25"/>
      <c r="AF672" s="25"/>
      <c r="AG672" s="25"/>
      <c r="AH672" s="25"/>
      <c r="AI672" s="25"/>
      <c r="AJ672" s="25"/>
      <c r="AK672" s="25"/>
      <c r="AL672" s="25"/>
      <c r="AM672" s="25"/>
      <c r="AN672" s="25"/>
      <c r="AO672" s="26"/>
    </row>
    <row r="673" spans="3:41" x14ac:dyDescent="0.25">
      <c r="C673" s="22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  <c r="AA673" s="25"/>
      <c r="AB673" s="25"/>
      <c r="AC673" s="25"/>
      <c r="AD673" s="25"/>
      <c r="AE673" s="25"/>
      <c r="AF673" s="25"/>
      <c r="AG673" s="25"/>
      <c r="AH673" s="25"/>
      <c r="AI673" s="25"/>
      <c r="AJ673" s="25"/>
      <c r="AK673" s="25"/>
      <c r="AL673" s="25"/>
      <c r="AM673" s="25"/>
      <c r="AN673" s="25"/>
      <c r="AO673" s="26"/>
    </row>
    <row r="674" spans="3:41" x14ac:dyDescent="0.25">
      <c r="C674" s="22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  <c r="AA674" s="25"/>
      <c r="AB674" s="25"/>
      <c r="AC674" s="25"/>
      <c r="AD674" s="25"/>
      <c r="AE674" s="25"/>
      <c r="AF674" s="25"/>
      <c r="AG674" s="25"/>
      <c r="AH674" s="25"/>
      <c r="AI674" s="25"/>
      <c r="AJ674" s="25"/>
      <c r="AK674" s="25"/>
      <c r="AL674" s="25"/>
      <c r="AM674" s="25"/>
      <c r="AN674" s="25"/>
      <c r="AO674" s="26"/>
    </row>
  </sheetData>
  <conditionalFormatting sqref="A1">
    <cfRule type="duplicateValues" dxfId="17" priority="17"/>
  </conditionalFormatting>
  <conditionalFormatting sqref="A13">
    <cfRule type="duplicateValues" dxfId="16" priority="15"/>
    <cfRule type="duplicateValues" dxfId="15" priority="16"/>
  </conditionalFormatting>
  <conditionalFormatting sqref="A14:A15 A5:A12">
    <cfRule type="duplicateValues" dxfId="14" priority="34"/>
    <cfRule type="duplicateValues" dxfId="13" priority="35"/>
  </conditionalFormatting>
  <conditionalFormatting sqref="A16:A17">
    <cfRule type="duplicateValues" dxfId="12" priority="13"/>
    <cfRule type="duplicateValues" dxfId="11" priority="14"/>
  </conditionalFormatting>
  <conditionalFormatting sqref="A18:A19">
    <cfRule type="duplicateValues" dxfId="10" priority="9"/>
    <cfRule type="duplicateValues" dxfId="9" priority="10"/>
  </conditionalFormatting>
  <conditionalFormatting sqref="A20">
    <cfRule type="duplicateValues" dxfId="8" priority="7"/>
    <cfRule type="duplicateValues" dxfId="7" priority="8"/>
  </conditionalFormatting>
  <conditionalFormatting sqref="A21:A22">
    <cfRule type="duplicateValues" dxfId="6" priority="5"/>
    <cfRule type="duplicateValues" dxfId="5" priority="6"/>
  </conditionalFormatting>
  <conditionalFormatting sqref="A23">
    <cfRule type="duplicateValues" dxfId="4" priority="3"/>
    <cfRule type="duplicateValues" dxfId="3" priority="4"/>
  </conditionalFormatting>
  <conditionalFormatting sqref="A24">
    <cfRule type="duplicateValues" dxfId="2" priority="1"/>
    <cfRule type="duplicateValues" dxfId="1" priority="2"/>
  </conditionalFormatting>
  <conditionalFormatting sqref="A25:A1048576 A2:A4">
    <cfRule type="duplicateValues" dxfId="0" priority="24"/>
  </conditionalFormatting>
  <pageMargins left="0.7" right="0.7" top="0.78749999999999998" bottom="0.78749999999999998" header="0.51180555555555496" footer="0.51180555555555496"/>
  <pageSetup paperSize="9" firstPageNumber="0" orientation="portrait" horizontalDpi="300" verticalDpi="300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51" r:id="rId3" name="Drop Down 3">
              <controlPr defaultSize="0" autoLine="0" autoPict="0">
                <anchor moveWithCells="1">
                  <from>
                    <xdr:col>6</xdr:col>
                    <xdr:colOff>352425</xdr:colOff>
                    <xdr:row>0</xdr:row>
                    <xdr:rowOff>47625</xdr:rowOff>
                  </from>
                  <to>
                    <xdr:col>6</xdr:col>
                    <xdr:colOff>1876425</xdr:colOff>
                    <xdr:row>0</xdr:row>
                    <xdr:rowOff>228600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3</vt:i4>
      </vt:variant>
      <vt:variant>
        <vt:lpstr>Benannte Bereiche</vt:lpstr>
      </vt:variant>
      <vt:variant>
        <vt:i4>12</vt:i4>
      </vt:variant>
    </vt:vector>
  </HeadingPairs>
  <TitlesOfParts>
    <vt:vector size="15" baseType="lpstr">
      <vt:lpstr>Config</vt:lpstr>
      <vt:lpstr>Macro</vt:lpstr>
      <vt:lpstr>Questions</vt:lpstr>
      <vt:lpstr>R_miss_rec_val</vt:lpstr>
      <vt:lpstr>V_Datum</vt:lpstr>
      <vt:lpstr>V_Language</vt:lpstr>
      <vt:lpstr>V_Namenszusatz</vt:lpstr>
      <vt:lpstr>V_Projektleiter</vt:lpstr>
      <vt:lpstr>V_ProjektleiterCol</vt:lpstr>
      <vt:lpstr>V_Projektname</vt:lpstr>
      <vt:lpstr>V_Projektverzeichnis</vt:lpstr>
      <vt:lpstr>V_Scenario</vt:lpstr>
      <vt:lpstr>V_ScenName</vt:lpstr>
      <vt:lpstr>V_TemplatePath</vt:lpstr>
      <vt:lpstr>V_XMLName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Wolf Wilke</dc:creator>
  <dc:description/>
  <cp:lastModifiedBy>Wolf Wilke</cp:lastModifiedBy>
  <cp:revision>14</cp:revision>
  <dcterms:created xsi:type="dcterms:W3CDTF">2021-03-29T10:59:51Z</dcterms:created>
  <dcterms:modified xsi:type="dcterms:W3CDTF">2023-10-19T21:48:41Z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