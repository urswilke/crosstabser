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BF8CC780-8670-4043-B8EF-1A029DDEC846}" xr6:coauthVersionLast="47" xr6:coauthVersionMax="47" xr10:uidLastSave="{00000000-0000-0000-0000-000000000000}"/>
  <bookViews>
    <workbookView xWindow="-120" yWindow="-120" windowWidth="29040" windowHeight="15525" tabRatio="500" activeTab="2" xr2:uid="{00000000-000D-0000-FFFF-FFFF00000000}"/>
  </bookViews>
  <sheets>
    <sheet name="Config" sheetId="1" r:id="rId1"/>
    <sheet name="Macro" sheetId="2" r:id="rId2"/>
    <sheet name="Questions" sheetId="3" r:id="rId3"/>
  </sheets>
  <definedNames>
    <definedName name="R_miss_rec_val">Config!$B$35</definedName>
    <definedName name="V_BookNo">Config!$B$11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2" l="1"/>
  <c r="B34" i="1"/>
  <c r="B33" i="1"/>
  <c r="B25" i="1"/>
  <c r="B24" i="1"/>
  <c r="B22" i="1"/>
  <c r="C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3" authorId="0" shapeId="0" xr:uid="{00000000-0006-0000-0000-000001000000}">
      <text>
        <r>
          <rPr>
            <sz val="10"/>
            <rFont val="Arial"/>
            <family val="2"/>
          </rPr>
          <t>Name of XML file with table date, to be appended by '&lt;QuestNo&gt;.xml'</t>
        </r>
      </text>
    </comment>
    <comment ref="B35" authorId="0" shapeId="0" xr:uid="{00000000-0006-0000-00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N1" authorId="0" shapeId="0" xr:uid="{00000000-0006-0000-0200-000001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Sx - Mean with x decimals
Mx - Median with x decimals
Tx - Total with x decimals
Pnnx - nn Percentile with x decimals
most common: S1M0</t>
        </r>
      </text>
    </comment>
    <comment ref="U1" authorId="0" shapeId="0" xr:uid="{00000000-0006-0000-02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summary of means at "mw" type</t>
        </r>
      </text>
    </comment>
    <comment ref="V1" authorId="0" shapeId="0" xr:uid="{00000000-0006-0000-0200-000003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detail tables of variables at "mw" type</t>
        </r>
      </text>
    </comment>
    <comment ref="AN1" authorId="0" shapeId="0" xr:uid="{00000000-0006-0000-0200-000004000000}">
      <text>
        <r>
          <rPr>
            <sz val="10"/>
            <rFont val="Arial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<sst xmlns="http://schemas.openxmlformats.org/spreadsheetml/2006/main" count="893" uniqueCount="354">
  <si>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</si>
  <si>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</si>
  <si>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</si>
  <si>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</si>
  <si>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</si>
  <si>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</si>
  <si>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</si>
  <si>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</si>
  <si>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</si>
  <si>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</si>
  <si>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</si>
  <si>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</si>
  <si>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V_BookNo</t>
  </si>
  <si>
    <t>Version</t>
  </si>
  <si>
    <t>Language</t>
  </si>
  <si>
    <t>DEUTSCH</t>
  </si>
  <si>
    <t>Scenario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</si>
  <si>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</si>
  <si>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</si>
  <si>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</si>
  <si>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</si>
  <si>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</si>
  <si>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</si>
  <si>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</si>
  <si>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</si>
  <si>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</si>
  <si>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XML name</t>
  </si>
  <si>
    <t>dev\xml\XML_test_Draft_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</si>
  <si>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</si>
  <si>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</si>
  <si>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</si>
  <si>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</si>
  <si>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</si>
  <si>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</si>
  <si>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</si>
  <si>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</si>
  <si>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</si>
  <si>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</si>
  <si>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</si>
  <si>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Set missing value to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</si>
  <si>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</si>
  <si>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</si>
  <si>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</si>
  <si>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</si>
  <si>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</si>
  <si>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</si>
  <si>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</si>
  <si>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</si>
  <si>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</si>
  <si>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</si>
  <si>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</si>
  <si>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</si>
  <si>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</si>
  <si>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</si>
  <si>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</si>
  <si>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</si>
  <si>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</si>
  <si>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</si>
  <si>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</si>
  <si>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</si>
  <si>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</si>
  <si>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</si>
  <si>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</si>
  <si>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</si>
  <si>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</si>
  <si>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</si>
  <si>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</si>
  <si>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</si>
  <si>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</si>
  <si>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</si>
  <si>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</si>
  <si>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</si>
  <si>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</si>
  <si>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</si>
  <si>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</si>
  <si>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</si>
  <si>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</si>
  <si>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</si>
  <si>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</si>
  <si>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</si>
  <si>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</si>
  <si>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</si>
  <si>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</si>
  <si>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</si>
  <si>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</si>
  <si>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</si>
  <si>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</si>
  <si>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</si>
  <si>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</si>
  <si>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</si>
  <si>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</si>
  <si>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</si>
  <si>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</si>
  <si>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</si>
  <si>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</si>
  <si>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</si>
  <si>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</si>
  <si>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</si>
  <si>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</si>
  <si>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</si>
  <si>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</si>
  <si>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</si>
  <si>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</si>
  <si>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</si>
  <si>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Standard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</si>
  <si>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</si>
  <si>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</si>
  <si>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</si>
  <si>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</si>
  <si>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</si>
  <si>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</si>
  <si>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</si>
  <si>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</si>
  <si>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</si>
  <si>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</si>
  <si>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</si>
  <si>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</si>
  <si>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</si>
  <si>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</si>
  <si>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</si>
  <si>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</si>
  <si>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</si>
  <si>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</si>
  <si>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</si>
  <si>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</si>
  <si>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</si>
  <si>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</si>
  <si>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</si>
  <si>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</si>
  <si>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</si>
  <si>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</si>
  <si>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</si>
  <si>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</si>
  <si>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</si>
  <si>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</si>
  <si>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</si>
  <si>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</si>
  <si>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</si>
  <si>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</si>
  <si>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</si>
  <si>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</si>
  <si>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</si>
  <si>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</si>
  <si>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</si>
  <si>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</si>
  <si>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</si>
  <si>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</si>
  <si>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</si>
  <si>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</si>
  <si>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</si>
  <si>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</si>
  <si>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</si>
  <si>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</si>
  <si>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</si>
  <si>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ColVar</t>
  </si>
  <si>
    <t>Header variables</t>
  </si>
  <si>
    <t>space-separated list of header variables</t>
  </si>
  <si>
    <t>q2 q3</t>
  </si>
  <si>
    <t>kregio</t>
  </si>
  <si>
    <t>Invalid</t>
  </si>
  <si>
    <t>Invalid values</t>
  </si>
  <si>
    <t>values which should be treated as invalid (comma-separated list, ranges with /)</t>
  </si>
  <si>
    <t>-1,-2,-999/-199</t>
  </si>
  <si>
    <t>-1,-3,-2</t>
  </si>
  <si>
    <t>Filter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</si>
  <si>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</si>
  <si>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</si>
  <si>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</si>
  <si>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</si>
  <si>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</si>
  <si>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</si>
  <si>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</si>
  <si>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x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</si>
  <si>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</si>
  <si>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</si>
  <si>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</si>
  <si>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</si>
  <si>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</si>
  <si>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</si>
  <si>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</si>
  <si>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</si>
  <si>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</si>
  <si>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</si>
  <si>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</si>
  <si>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</si>
  <si>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</si>
  <si>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</si>
  <si>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</si>
  <si>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</si>
  <si>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</si>
  <si>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</si>
  <si>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</si>
  <si>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</si>
  <si>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</si>
  <si>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</si>
  <si>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</si>
  <si>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</si>
  <si>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</si>
  <si>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</si>
  <si>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</si>
  <si>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</si>
  <si>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</si>
  <si>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</si>
  <si>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</si>
  <si>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</si>
  <si>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</si>
  <si>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</si>
  <si>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</si>
  <si>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</si>
  <si>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</si>
  <si>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</si>
  <si>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</si>
  <si>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</si>
  <si>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</si>
  <si>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</si>
  <si>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</si>
  <si>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</si>
  <si>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</si>
  <si>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</si>
  <si>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</si>
  <si>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</si>
  <si>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</si>
  <si>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</si>
  <si>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</si>
  <si>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</si>
  <si>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</si>
  <si>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</si>
  <si>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</si>
  <si>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</si>
  <si>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ColC</t>
  </si>
  <si>
    <t>ColD</t>
  </si>
  <si>
    <t>ColE</t>
  </si>
  <si>
    <t>Type</t>
  </si>
  <si>
    <t>RowVar</t>
  </si>
  <si>
    <t>Unguelt</t>
  </si>
  <si>
    <t>CatRec</t>
  </si>
  <si>
    <t>CatLab</t>
  </si>
  <si>
    <t>MWRec</t>
  </si>
  <si>
    <t>UngueltMW</t>
  </si>
  <si>
    <t>MetrMac</t>
  </si>
  <si>
    <t>R</t>
  </si>
  <si>
    <t>ColP</t>
  </si>
  <si>
    <t>Fussnote</t>
  </si>
  <si>
    <t>Sort</t>
  </si>
  <si>
    <t>SelVar</t>
  </si>
  <si>
    <t>SelVal</t>
  </si>
  <si>
    <t>MW</t>
  </si>
  <si>
    <t>ColY</t>
  </si>
  <si>
    <t>MdgVal</t>
  </si>
  <si>
    <t>MdgMissLab</t>
  </si>
  <si>
    <t>MdgMissValid</t>
  </si>
  <si>
    <t>Einzelauspraegung</t>
  </si>
  <si>
    <t>ZsfgMW</t>
  </si>
  <si>
    <t>MeanOverviewLabel</t>
  </si>
  <si>
    <t>Mult</t>
  </si>
  <si>
    <t>RvEmp</t>
  </si>
  <si>
    <t>Categories</t>
  </si>
  <si>
    <t>RepOV</t>
  </si>
  <si>
    <t>MWVar</t>
  </si>
  <si>
    <t>Exclusive</t>
  </si>
  <si>
    <t>Checks</t>
  </si>
  <si>
    <t>Q1</t>
  </si>
  <si>
    <t>1. Wie viele Mitarbeiter beschäftigt Ihr Unternehmen?</t>
  </si>
  <si>
    <t>cat</t>
  </si>
  <si>
    <t xml:space="preserve">q1 </t>
  </si>
  <si>
    <t>99,-2</t>
  </si>
  <si>
    <t>Q2</t>
  </si>
  <si>
    <t>2. Welche Art von Studien führen Sie mit dem Tabellenbandtool durch?' 'DC#SELVALLAB</t>
  </si>
  <si>
    <t>mdg</t>
  </si>
  <si>
    <t>ts: dplyr::matches("q2_\\d+$") &amp; -c(q2_00, q2_99) &amp; where(\(x) length(unique(x)) &gt; 1)</t>
  </si>
  <si>
    <t>q2_99 q2_00</t>
  </si>
  <si>
    <t>1 THRU 2, 4</t>
  </si>
  <si>
    <t>Q3_1</t>
  </si>
  <si>
    <t>3. Wie verteilten sich die Studien prozentual auf die einzelnen Arten?</t>
  </si>
  <si>
    <t>mw</t>
  </si>
  <si>
    <t xml:space="preserve">q3a q3b q3c q3d q3e q3f q3g </t>
  </si>
  <si>
    <t>100percent</t>
  </si>
  <si>
    <t>Q3_2</t>
  </si>
  <si>
    <t>q3a</t>
  </si>
  <si>
    <t>S1E2M0P250T0I0A0</t>
  </si>
  <si>
    <t>Q3_3</t>
  </si>
  <si>
    <t>q3a q3b</t>
  </si>
  <si>
    <t>S1E2</t>
  </si>
  <si>
    <t>Q3_4</t>
  </si>
  <si>
    <t>q3a_NA q3b</t>
  </si>
  <si>
    <t>Summary of Medians</t>
  </si>
  <si>
    <t>Q3_5</t>
  </si>
  <si>
    <t>gew</t>
  </si>
  <si>
    <t>Q3_6</t>
  </si>
  <si>
    <t xml:space="preserve">q3a </t>
  </si>
  <si>
    <t>Q4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</si>
  <si>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</si>
  <si>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</si>
  <si>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</si>
  <si>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"1-2mal" 2 '3-5mal' 3 '&gt;5mal' </t>
  </si>
  <si>
    <t>S1E2M0</t>
  </si>
  <si>
    <t>Q5_1</t>
  </si>
  <si>
    <t>5. Was lief besonders gut in den Projekten?</t>
  </si>
  <si>
    <t>mcg</t>
  </si>
  <si>
    <t xml:space="preserve">q5n1 q5n2 q5n3 q5n4 q5n5 </t>
  </si>
  <si>
    <t>5, 2, 99,-2</t>
  </si>
  <si>
    <t>Absteigend nach Häufigkeit sortiert</t>
  </si>
  <si>
    <t>ORDER=D KEY=COUNT</t>
  </si>
  <si>
    <t>Q5_2</t>
  </si>
  <si>
    <t>5, 2</t>
  </si>
  <si>
    <t>Q6_1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</si>
  <si>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</si>
  <si>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</si>
  <si>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</si>
  <si>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TOP2:(4 THRU 5=100) (1 THRU 5=0)|TOP1:(5=100) (1 THRU 5=0)</t>
  </si>
  <si>
    <t>Q6_2</t>
  </si>
  <si>
    <t>q6a</t>
  </si>
  <si>
    <t xml:space="preserve">(1 THRU 2=1) (3=2) (4 THRU 5=3)  | (1 THRU 2=1) (3=3) (4=4) (5=5) </t>
  </si>
  <si>
    <t>1 '1 und 2' 2 '3' 3 '4 und 5' | 1 '1 und 2' 3 '3' 4 '4' 5 '5'</t>
  </si>
  <si>
    <t>Q9_1</t>
  </si>
  <si>
    <t>9. Würden Sie das Tabellenbandtool weiterempfehlen?' 'DC#SELVALLAB</t>
  </si>
  <si>
    <t>q91</t>
  </si>
  <si>
    <t>(0 THRU 6=3) (7,8=2) (9,10=1) {[1]-[3]='NPS'}</t>
  </si>
  <si>
    <t>1 'Promoters' 2 'Indifferent' 3 'Detractors'</t>
  </si>
  <si>
    <t>sel0</t>
  </si>
  <si>
    <t>1 2 3-6:Sonstige</t>
  </si>
  <si>
    <t>Q9_2</t>
  </si>
  <si>
    <t>q92</t>
  </si>
  <si>
    <t>sel1</t>
  </si>
  <si>
    <t>Q9_3</t>
  </si>
  <si>
    <t>q91 q92</t>
  </si>
  <si>
    <t>sel0 sel1</t>
  </si>
  <si>
    <t>QNOT CHECKED: 2</t>
  </si>
  <si>
    <t>NOT CHECKED: 2. Welche Art von Studien führen Sie mit dem Tabellenbandtool durch?' 'DC#SELVALLAB</t>
  </si>
  <si>
    <t xml:space="preserve">q2_01 q2_02 q2_03 q2_04 q2_05 q2_06 </t>
  </si>
  <si>
    <t>Qmulti selvar with unguelt: 2</t>
  </si>
  <si>
    <t>multi selvar with unguelt: 2. Welche Art von Studien führen Sie mit dem Tabellenbandtool durch?' 'DC#SELVALLAB</t>
  </si>
  <si>
    <t xml:space="preserve">q2_01 q2_02 q2_03 q2_04 </t>
  </si>
  <si>
    <t>q2_05 q2_05 q2_00 q2_00</t>
  </si>
  <si>
    <t>3-6:Sonstige</t>
  </si>
  <si>
    <t>Qtrigger invalid values: 2</t>
  </si>
  <si>
    <t>trigger invalid values: 2. Welche Art von Studien führen Sie mit dem Tabellenbandtool durch?</t>
  </si>
  <si>
    <t>q2_06</t>
  </si>
  <si>
    <t>q2_02 q2_01</t>
  </si>
  <si>
    <t>QNOT CHECKED: 5</t>
  </si>
  <si>
    <t>NOT CHECKED: 5. Was lief besonders gut in den Projekten?</t>
  </si>
  <si>
    <t xml:space="preserve">q5n1 q5n2 q5n3 q5n4 </t>
  </si>
  <si>
    <t>Q7</t>
  </si>
  <si>
    <t>7. Für die abgefragten Studienarten: Wie zufrieden sind Sie mit dem Tabellenbandtool bezüglich der eben abgefragten Merkmale?' 'DC#SELVALLAB</t>
  </si>
  <si>
    <t>q7a1 q7a2 q7b1 q7b2</t>
  </si>
  <si>
    <t>(1 THRU 4=1) (5 THRU 7=2) (8 THRU 10=3)</t>
  </si>
  <si>
    <t>1 '1 bis 4' 2 '5 bis 7' 3 '8 bis 10'</t>
  </si>
  <si>
    <t>2 3-6:Sonstige</t>
  </si>
  <si>
    <t>TOP3:(8 THRU 10=100) (1 THRU 10=0)</t>
  </si>
  <si>
    <t>Unwgt</t>
  </si>
  <si>
    <t>(0 THRU 50 = -2) (ELSE=COPY)</t>
  </si>
  <si>
    <t>5, 99,-2</t>
  </si>
  <si>
    <t>S1[label=hello]E2M0P250T0I0A0</t>
  </si>
  <si>
    <t>median3[label=hi][ValidN=how are you][ValidDec=2]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</si>
</sst>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0" x14ac:knownFonts="1"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sz val="9"/>
      <color rgb="FF000000"/>
      <name val="Segoe UI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theme="9" tint="0.79989013336588644"/>
        <bgColor rgb="FFEDEDED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theme="4" tint="0.59987182226020086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3" fillId="2" borderId="0" xfId="0" applyFont="1" applyFill="1" applyAlignment="1">
      <alignment horizontal="right" wrapText="1"/>
    </xf>
    <xf numFmtId="164" fontId="0" fillId="2" borderId="0" xfId="0" applyNumberFormat="1" applyFill="1"/>
    <xf numFmtId="0" fontId="0" fillId="3" borderId="0" xfId="0" applyFill="1"/>
    <xf numFmtId="0" fontId="2" fillId="3" borderId="0" xfId="0" applyFont="1" applyFill="1"/>
    <xf numFmtId="0" fontId="2" fillId="2" borderId="0" xfId="0" applyFont="1" applyFill="1" applyAlignment="1">
      <alignment vertical="center"/>
    </xf>
    <xf numFmtId="0" fontId="2" fillId="2" borderId="0" xfId="0" applyFont="1" applyFill="1"/>
    <xf numFmtId="0" fontId="0" fillId="4" borderId="0" xfId="0" applyFill="1"/>
    <xf numFmtId="0" fontId="4" fillId="2" borderId="0" xfId="0" applyFont="1" applyFill="1"/>
    <xf numFmtId="0" fontId="5" fillId="2" borderId="0" xfId="0" applyFont="1" applyFill="1"/>
    <xf numFmtId="0" fontId="0" fillId="3" borderId="0" xfId="0" applyFill="1"/>
    <xf numFmtId="0" fontId="2" fillId="5" borderId="0" xfId="1" applyFont="1" applyFill="1"/>
    <xf numFmtId="0" fontId="2" fillId="4" borderId="0" xfId="1" applyFont="1" applyFill="1"/>
    <xf numFmtId="0" fontId="2" fillId="0" borderId="0" xfId="1" applyFont="1"/>
    <xf numFmtId="0" fontId="7" fillId="6" borderId="0" xfId="1" applyFont="1" applyFill="1"/>
    <xf numFmtId="0" fontId="8" fillId="7" borderId="0" xfId="1" applyFont="1" applyFill="1"/>
    <xf numFmtId="0" fontId="2" fillId="8" borderId="0" xfId="1" applyFont="1" applyFill="1"/>
    <xf numFmtId="0" fontId="2" fillId="9" borderId="0" xfId="1" applyFont="1" applyFill="1"/>
    <xf numFmtId="0" fontId="2" fillId="10" borderId="0" xfId="1" applyFont="1" applyFill="1"/>
    <xf numFmtId="0" fontId="2" fillId="11" borderId="0" xfId="1" applyFont="1" applyFill="1"/>
    <xf numFmtId="0" fontId="2" fillId="3" borderId="0" xfId="1" applyFont="1" applyFill="1"/>
    <xf numFmtId="0" fontId="5" fillId="3" borderId="0" xfId="1" applyFont="1" applyFill="1"/>
    <xf numFmtId="0" fontId="9" fillId="7" borderId="0" xfId="1" applyFont="1" applyFill="1"/>
    <xf numFmtId="0" fontId="7" fillId="7" borderId="0" xfId="1" applyFont="1" applyFill="1"/>
    <xf numFmtId="0" fontId="2" fillId="4" borderId="0" xfId="0" applyFont="1" applyFill="1"/>
    <xf numFmtId="0" fontId="2" fillId="12" borderId="0" xfId="1" applyFont="1" applyFill="1"/>
    <xf numFmtId="0" fontId="2" fillId="8" borderId="0" xfId="1" applyFont="1" applyFill="1" applyBorder="1" applyAlignment="1">
      <alignment horizontal="center" vertical="center"/>
    </xf>
    <xf numFmtId="0" fontId="2" fillId="8" borderId="0" xfId="1" applyFont="1" applyFill="1" applyBorder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DBDB"/>
      <rgbColor rgb="FFE2F0D9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75960</xdr:rowOff>
    </xdr:from>
    <xdr:to>
      <xdr:col>3</xdr:col>
      <xdr:colOff>116640</xdr:colOff>
      <xdr:row>34</xdr:row>
      <xdr:rowOff>113760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704960" y="4695480"/>
          <a:ext cx="2217960" cy="17524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52920</xdr:colOff>
      <xdr:row>0</xdr:row>
      <xdr:rowOff>31680</xdr:rowOff>
    </xdr:from>
    <xdr:to>
      <xdr:col>0</xdr:col>
      <xdr:colOff>255960</xdr:colOff>
      <xdr:row>0</xdr:row>
      <xdr:rowOff>234720</xdr:rowOff>
    </xdr:to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920" y="31680"/>
          <a:ext cx="20304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317520</xdr:colOff>
      <xdr:row>0</xdr:row>
      <xdr:rowOff>31680</xdr:rowOff>
    </xdr:from>
    <xdr:to>
      <xdr:col>1</xdr:col>
      <xdr:colOff>107640</xdr:colOff>
      <xdr:row>0</xdr:row>
      <xdr:rowOff>234720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17520" y="31680"/>
          <a:ext cx="28152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4" name="Drop Dow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0" y="0"/>
          <a:ext cx="0" cy="0"/>
        </a:xfrm>
        <a:prstGeom prst="rect">
          <a:avLst/>
        </a:prstGeom>
      </xdr:spPr>
      <xdr:txBody>
        <a:bodyPr anchor="ctr">
          <a:noAutofit/>
        </a:bodyPr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11" sqref="B11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6" t="s">
        <v>4</v>
      </c>
      <c r="H1" s="6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7">
        <v>44239.540474537003</v>
      </c>
      <c r="J3" s="8"/>
      <c r="K3" s="9"/>
      <c r="L3" s="8"/>
      <c r="M3" s="9"/>
      <c r="N3" s="8"/>
    </row>
    <row r="4" spans="1:14" x14ac:dyDescent="0.25">
      <c r="J4" s="8"/>
      <c r="K4" s="9"/>
      <c r="L4" s="8"/>
      <c r="M4" s="8"/>
      <c r="N4" s="8"/>
    </row>
    <row r="5" spans="1:14" x14ac:dyDescent="0.25">
      <c r="F5" s="1" t="s">
        <v>8</v>
      </c>
      <c r="G5" s="1">
        <v>0</v>
      </c>
      <c r="H5" s="7">
        <v>44239.543587963002</v>
      </c>
      <c r="J5" s="8"/>
      <c r="K5" s="9"/>
      <c r="L5" s="8"/>
      <c r="M5" s="8"/>
      <c r="N5" s="8"/>
    </row>
    <row r="6" spans="1:14" x14ac:dyDescent="0.25">
      <c r="J6" s="8"/>
      <c r="K6" s="8"/>
      <c r="L6" s="8"/>
      <c r="M6" s="8"/>
      <c r="N6" s="8"/>
    </row>
    <row r="7" spans="1:14" x14ac:dyDescent="0.25">
      <c r="F7" s="1" t="s">
        <v>9</v>
      </c>
      <c r="G7" s="1">
        <v>2</v>
      </c>
      <c r="H7" s="7">
        <v>44282.847766203697</v>
      </c>
      <c r="J7" s="8"/>
      <c r="K7" s="8"/>
      <c r="L7" s="8"/>
      <c r="M7" s="8"/>
      <c r="N7" s="8"/>
    </row>
    <row r="8" spans="1:14" x14ac:dyDescent="0.25">
      <c r="F8" s="1" t="s">
        <v>10</v>
      </c>
      <c r="G8" s="1">
        <v>0</v>
      </c>
      <c r="J8" s="8"/>
      <c r="K8" s="8"/>
      <c r="L8" s="8"/>
      <c r="M8" s="8"/>
      <c r="N8" s="8"/>
    </row>
    <row r="9" spans="1:14" ht="26.25" customHeight="1" x14ac:dyDescent="0.25">
      <c r="A9" s="10"/>
      <c r="F9" s="11" t="s">
        <v>11</v>
      </c>
      <c r="H9" s="7">
        <v>42711.501678240696</v>
      </c>
    </row>
    <row r="11" spans="1:14" x14ac:dyDescent="0.25">
      <c r="A11" s="1" t="s">
        <v>12</v>
      </c>
      <c r="B11" s="11">
        <v>999999999</v>
      </c>
    </row>
    <row r="13" spans="1:14" x14ac:dyDescent="0.25">
      <c r="A13" s="11" t="s">
        <v>13</v>
      </c>
      <c r="B13" s="9">
        <v>20190118</v>
      </c>
    </row>
    <row r="15" spans="1:14" x14ac:dyDescent="0.25">
      <c r="A15" s="11" t="s">
        <v>14</v>
      </c>
      <c r="B15" s="8">
        <v>2</v>
      </c>
      <c r="C15" s="1" t="s">
        <v>15</v>
      </c>
      <c r="E15" s="11"/>
    </row>
    <row r="16" spans="1:14" x14ac:dyDescent="0.25">
      <c r="A16" s="11" t="s">
        <v>16</v>
      </c>
      <c r="B16" s="8">
        <v>2</v>
      </c>
      <c r="C16" s="1" t="str">
        <f>HLOOKUP(V_Scenario,V_ScenDetail,2,FALSE())</f>
        <v>Scenario 2</v>
      </c>
      <c r="J16" s="11" t="s">
        <v>17</v>
      </c>
      <c r="K16" s="12"/>
    </row>
    <row r="17" spans="1:6" x14ac:dyDescent="0.25">
      <c r="A17" s="11" t="s">
        <v>18</v>
      </c>
      <c r="B17" s="9" t="s">
        <v>19</v>
      </c>
    </row>
    <row r="18" spans="1:6" x14ac:dyDescent="0.25">
      <c r="A18" s="11" t="s">
        <v>20</v>
      </c>
      <c r="B18" s="9">
        <v>20210327</v>
      </c>
    </row>
    <row r="20" spans="1:6" x14ac:dyDescent="0.25">
      <c r="A20" s="11" t="s">
        <v>21</v>
      </c>
      <c r="B20" s="11" t="s">
        <v>22</v>
      </c>
      <c r="F20" s="13"/>
    </row>
    <row r="21" spans="1:6" x14ac:dyDescent="0.25">
      <c r="A21" s="11" t="s">
        <v>23</v>
      </c>
      <c r="B21" s="9" t="s">
        <v>24</v>
      </c>
    </row>
    <row r="22" spans="1:6" x14ac:dyDescent="0.25">
      <c r="A22" s="11" t="s">
        <v>25</v>
      </c>
      <c r="B22" s="11" t="e">
        <f>#N/A</f>
        <v>#N/A</v>
      </c>
    </row>
    <row r="23" spans="1:6" x14ac:dyDescent="0.25">
      <c r="A23" s="11" t="s">
        <v>26</v>
      </c>
      <c r="B23" s="11" t="s">
        <v>27</v>
      </c>
    </row>
    <row r="24" spans="1:6" x14ac:dyDescent="0.25">
      <c r="A24" s="11" t="s">
        <v>28</v>
      </c>
      <c r="B24" s="11" t="e">
        <f>#N/A</f>
        <v>#N/A</v>
      </c>
      <c r="F24" s="14"/>
    </row>
    <row r="25" spans="1:6" x14ac:dyDescent="0.25">
      <c r="A25" s="11" t="s">
        <v>29</v>
      </c>
      <c r="B25" s="11" t="e">
        <f>#N/A</f>
        <v>#N/A</v>
      </c>
      <c r="F25" s="14"/>
    </row>
    <row r="26" spans="1:6" x14ac:dyDescent="0.25">
      <c r="F26" s="14"/>
    </row>
    <row r="27" spans="1:6" x14ac:dyDescent="0.25">
      <c r="A27" s="11" t="s">
        <v>30</v>
      </c>
      <c r="B27" s="11" t="s">
        <v>31</v>
      </c>
      <c r="F27" s="14"/>
    </row>
    <row r="28" spans="1:6" x14ac:dyDescent="0.25">
      <c r="A28" s="11"/>
      <c r="B28" s="11"/>
    </row>
    <row r="29" spans="1:6" x14ac:dyDescent="0.25">
      <c r="A29" s="11" t="s">
        <v>32</v>
      </c>
      <c r="B29" s="1" t="s">
        <v>33</v>
      </c>
    </row>
    <row r="30" spans="1:6" x14ac:dyDescent="0.25">
      <c r="A30" s="11" t="s">
        <v>34</v>
      </c>
      <c r="B30" s="1" t="s">
        <v>35</v>
      </c>
    </row>
    <row r="31" spans="1:6" x14ac:dyDescent="0.25">
      <c r="A31" s="11" t="s">
        <v>36</v>
      </c>
      <c r="B31" s="11" t="s">
        <v>37</v>
      </c>
    </row>
    <row r="33" spans="1:3" x14ac:dyDescent="0.25">
      <c r="A33" s="11" t="s">
        <v>19</v>
      </c>
      <c r="B33" s="15" t="b">
        <f>FALSE()</f>
        <v>0</v>
      </c>
    </row>
    <row r="34" spans="1:3" x14ac:dyDescent="0.25">
      <c r="A34" s="11" t="s">
        <v>38</v>
      </c>
      <c r="B34" s="15" t="b">
        <f>FALSE()</f>
        <v>0</v>
      </c>
    </row>
    <row r="35" spans="1:3" x14ac:dyDescent="0.25">
      <c r="A35" s="11" t="s">
        <v>39</v>
      </c>
      <c r="B35" s="16">
        <v>-2</v>
      </c>
    </row>
    <row r="36" spans="1:3" x14ac:dyDescent="0.25">
      <c r="A36" s="11" t="s">
        <v>40</v>
      </c>
      <c r="B36" s="17">
        <v>100</v>
      </c>
    </row>
    <row r="37" spans="1:3" x14ac:dyDescent="0.25">
      <c r="A37" s="11" t="s">
        <v>41</v>
      </c>
      <c r="B37" s="17" t="s">
        <v>42</v>
      </c>
    </row>
    <row r="38" spans="1:3" x14ac:dyDescent="0.25">
      <c r="C38" s="11" t="s">
        <v>43</v>
      </c>
    </row>
    <row r="39" spans="1:3" x14ac:dyDescent="0.25">
      <c r="A39" s="11" t="s">
        <v>44</v>
      </c>
      <c r="B39" s="8" t="s">
        <v>45</v>
      </c>
      <c r="C39" s="1">
        <v>2</v>
      </c>
    </row>
    <row r="41" spans="1:3" x14ac:dyDescent="0.25">
      <c r="A41" s="11" t="s">
        <v>46</v>
      </c>
    </row>
    <row r="42" spans="1:3" x14ac:dyDescent="0.25">
      <c r="A42" s="11" t="s">
        <v>47</v>
      </c>
    </row>
    <row r="43" spans="1:3" x14ac:dyDescent="0.25">
      <c r="A43" s="11" t="s">
        <v>48</v>
      </c>
    </row>
    <row r="45" spans="1:3" x14ac:dyDescent="0.25">
      <c r="A45" s="11" t="s">
        <v>49</v>
      </c>
    </row>
  </sheetData>
  <conditionalFormatting sqref="H5">
    <cfRule type="expression" dxfId="21" priority="2">
      <formula>H5&lt;H3</formula>
    </cfRule>
  </conditionalFormatting>
  <conditionalFormatting sqref="H7">
    <cfRule type="expression" dxfId="20" priority="3">
      <formula>H7&lt;H5</formula>
    </cfRule>
  </conditionalFormatting>
  <conditionalFormatting sqref="H9">
    <cfRule type="expression" dxfId="19" priority="4">
      <formula>H9&lt;H7</formula>
    </cfRule>
  </conditionalFormatting>
  <conditionalFormatting sqref="G3:G8">
    <cfRule type="cellIs" dxfId="18" priority="5" operator="greaterThan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zoomScaleNormal="100" workbookViewId="0">
      <selection activeCell="H11" sqref="H11"/>
    </sheetView>
  </sheetViews>
  <sheetFormatPr baseColWidth="10" defaultColWidth="11.42578125" defaultRowHeight="15" x14ac:dyDescent="0.25"/>
  <cols>
    <col min="1" max="1" width="16.42578125" style="18" customWidth="1"/>
    <col min="2" max="2" width="27.7109375" style="18" customWidth="1"/>
    <col min="3" max="3" width="3.42578125" style="18" customWidth="1"/>
    <col min="4" max="4" width="6.28515625" style="18" customWidth="1"/>
    <col min="5" max="54" width="13.5703125" style="18" customWidth="1"/>
    <col min="55" max="1024" width="11.42578125" style="18"/>
  </cols>
  <sheetData>
    <row r="1" spans="1:56" s="20" customFormat="1" ht="18.75" customHeight="1" x14ac:dyDescent="0.2">
      <c r="A1" s="19" t="s">
        <v>50</v>
      </c>
      <c r="B1" s="19" t="s">
        <v>51</v>
      </c>
      <c r="C1" s="19" t="s">
        <v>52</v>
      </c>
      <c r="D1" s="19" t="s">
        <v>53</v>
      </c>
      <c r="E1" s="19" t="s">
        <v>54</v>
      </c>
      <c r="F1" s="19" t="s">
        <v>55</v>
      </c>
      <c r="G1" s="19" t="s">
        <v>56</v>
      </c>
      <c r="H1" s="19" t="s">
        <v>57</v>
      </c>
      <c r="I1" s="19" t="s">
        <v>58</v>
      </c>
      <c r="J1" s="19" t="s">
        <v>59</v>
      </c>
      <c r="K1" s="19" t="s">
        <v>60</v>
      </c>
      <c r="L1" s="19" t="s">
        <v>61</v>
      </c>
      <c r="M1" s="19" t="s">
        <v>62</v>
      </c>
      <c r="N1" s="19" t="s">
        <v>63</v>
      </c>
      <c r="O1" s="19" t="s">
        <v>64</v>
      </c>
      <c r="P1" s="19" t="s">
        <v>65</v>
      </c>
      <c r="Q1" s="19" t="s">
        <v>66</v>
      </c>
      <c r="R1" s="19" t="s">
        <v>67</v>
      </c>
      <c r="S1" s="19" t="s">
        <v>68</v>
      </c>
      <c r="T1" s="19" t="s">
        <v>69</v>
      </c>
      <c r="U1" s="19" t="s">
        <v>70</v>
      </c>
      <c r="V1" s="19" t="s">
        <v>71</v>
      </c>
      <c r="W1" s="19" t="s">
        <v>72</v>
      </c>
      <c r="X1" s="19" t="s">
        <v>73</v>
      </c>
      <c r="Y1" s="19" t="s">
        <v>74</v>
      </c>
      <c r="Z1" s="19" t="s">
        <v>75</v>
      </c>
      <c r="AA1" s="19" t="s">
        <v>76</v>
      </c>
      <c r="AB1" s="19" t="s">
        <v>77</v>
      </c>
      <c r="AC1" s="19" t="s">
        <v>78</v>
      </c>
      <c r="AD1" s="19" t="s">
        <v>79</v>
      </c>
      <c r="AE1" s="19" t="s">
        <v>80</v>
      </c>
      <c r="AF1" s="19" t="s">
        <v>81</v>
      </c>
      <c r="AG1" s="19" t="s">
        <v>82</v>
      </c>
      <c r="AH1" s="19" t="s">
        <v>83</v>
      </c>
      <c r="AI1" s="19" t="s">
        <v>84</v>
      </c>
      <c r="AJ1" s="19" t="s">
        <v>85</v>
      </c>
      <c r="AK1" s="19" t="s">
        <v>86</v>
      </c>
      <c r="AL1" s="19" t="s">
        <v>87</v>
      </c>
      <c r="AM1" s="19" t="s">
        <v>88</v>
      </c>
      <c r="AN1" s="19" t="s">
        <v>89</v>
      </c>
      <c r="AO1" s="19" t="s">
        <v>90</v>
      </c>
      <c r="AP1" s="19" t="s">
        <v>91</v>
      </c>
      <c r="AQ1" s="19" t="s">
        <v>92</v>
      </c>
      <c r="AR1" s="19" t="s">
        <v>93</v>
      </c>
      <c r="AS1" s="19" t="s">
        <v>94</v>
      </c>
      <c r="AT1" s="19" t="s">
        <v>95</v>
      </c>
      <c r="AU1" s="19" t="s">
        <v>96</v>
      </c>
      <c r="AV1" s="19" t="s">
        <v>97</v>
      </c>
      <c r="AW1" s="19" t="s">
        <v>98</v>
      </c>
      <c r="AX1" s="19" t="s">
        <v>99</v>
      </c>
      <c r="AY1" s="19" t="s">
        <v>100</v>
      </c>
      <c r="AZ1" s="19" t="s">
        <v>101</v>
      </c>
      <c r="BA1" s="19" t="s">
        <v>102</v>
      </c>
      <c r="BB1" s="19" t="s">
        <v>103</v>
      </c>
    </row>
    <row r="2" spans="1:56" hidden="1" x14ac:dyDescent="0.25"/>
    <row r="3" spans="1:56" s="21" customFormat="1" ht="12.75" x14ac:dyDescent="0.2">
      <c r="A3" s="31"/>
      <c r="B3" s="32"/>
      <c r="E3" s="21">
        <v>1</v>
      </c>
      <c r="F3" s="21">
        <v>2</v>
      </c>
      <c r="G3" s="21">
        <v>3</v>
      </c>
      <c r="H3" s="21">
        <v>4</v>
      </c>
      <c r="I3" s="21">
        <v>5</v>
      </c>
      <c r="J3" s="21">
        <v>6</v>
      </c>
      <c r="K3" s="21">
        <v>7</v>
      </c>
      <c r="L3" s="21">
        <v>8</v>
      </c>
      <c r="M3" s="21">
        <v>9</v>
      </c>
      <c r="N3" s="21">
        <v>10</v>
      </c>
      <c r="O3" s="21">
        <v>11</v>
      </c>
      <c r="P3" s="21">
        <v>12</v>
      </c>
      <c r="Q3" s="21">
        <v>13</v>
      </c>
      <c r="R3" s="21">
        <v>14</v>
      </c>
      <c r="S3" s="21">
        <v>15</v>
      </c>
      <c r="T3" s="21">
        <v>16</v>
      </c>
      <c r="U3" s="21">
        <v>17</v>
      </c>
      <c r="V3" s="21">
        <v>18</v>
      </c>
      <c r="W3" s="21">
        <v>19</v>
      </c>
      <c r="X3" s="21">
        <v>20</v>
      </c>
      <c r="Y3" s="21">
        <v>21</v>
      </c>
      <c r="Z3" s="21">
        <v>22</v>
      </c>
      <c r="AA3" s="21">
        <v>23</v>
      </c>
      <c r="AB3" s="21">
        <v>24</v>
      </c>
      <c r="AC3" s="21">
        <v>25</v>
      </c>
      <c r="AD3" s="21">
        <v>26</v>
      </c>
      <c r="AE3" s="21">
        <v>27</v>
      </c>
      <c r="AF3" s="21">
        <v>28</v>
      </c>
      <c r="AG3" s="21">
        <v>29</v>
      </c>
      <c r="AH3" s="21">
        <v>30</v>
      </c>
      <c r="AI3" s="21">
        <v>31</v>
      </c>
      <c r="AJ3" s="21">
        <v>32</v>
      </c>
      <c r="AK3" s="21">
        <v>33</v>
      </c>
      <c r="AL3" s="21">
        <v>34</v>
      </c>
      <c r="AM3" s="21">
        <v>35</v>
      </c>
      <c r="AN3" s="21">
        <v>36</v>
      </c>
      <c r="AO3" s="21">
        <v>37</v>
      </c>
      <c r="AP3" s="21">
        <v>38</v>
      </c>
      <c r="AQ3" s="21">
        <v>39</v>
      </c>
      <c r="AR3" s="21">
        <v>40</v>
      </c>
      <c r="AS3" s="21">
        <v>41</v>
      </c>
      <c r="AT3" s="21">
        <v>42</v>
      </c>
      <c r="AU3" s="21">
        <v>43</v>
      </c>
      <c r="AV3" s="21">
        <v>44</v>
      </c>
      <c r="AW3" s="21">
        <v>45</v>
      </c>
      <c r="AX3" s="21">
        <v>46</v>
      </c>
      <c r="AY3" s="21">
        <v>47</v>
      </c>
      <c r="AZ3" s="21">
        <v>48</v>
      </c>
      <c r="BA3" s="21">
        <v>49</v>
      </c>
      <c r="BB3" s="21">
        <v>50</v>
      </c>
      <c r="BD3" s="22"/>
    </row>
    <row r="4" spans="1:56" s="21" customFormat="1" ht="12.75" x14ac:dyDescent="0.2">
      <c r="A4" s="31"/>
      <c r="B4" s="32"/>
      <c r="E4" s="21" t="s">
        <v>104</v>
      </c>
      <c r="F4" s="21" t="s">
        <v>105</v>
      </c>
      <c r="G4" s="21" t="s">
        <v>106</v>
      </c>
      <c r="H4" s="21" t="s">
        <v>107</v>
      </c>
      <c r="I4" s="21" t="s">
        <v>108</v>
      </c>
      <c r="J4" s="21" t="s">
        <v>109</v>
      </c>
      <c r="K4" s="21" t="s">
        <v>110</v>
      </c>
      <c r="L4" s="21" t="s">
        <v>111</v>
      </c>
      <c r="M4" s="21" t="s">
        <v>112</v>
      </c>
      <c r="N4" s="21" t="s">
        <v>113</v>
      </c>
      <c r="O4" s="21" t="s">
        <v>114</v>
      </c>
      <c r="P4" s="21" t="s">
        <v>115</v>
      </c>
      <c r="Q4" s="21" t="s">
        <v>116</v>
      </c>
      <c r="R4" s="21" t="s">
        <v>117</v>
      </c>
      <c r="S4" s="21" t="s">
        <v>118</v>
      </c>
      <c r="T4" s="21" t="s">
        <v>119</v>
      </c>
      <c r="U4" s="21" t="s">
        <v>120</v>
      </c>
      <c r="V4" s="21" t="s">
        <v>121</v>
      </c>
      <c r="W4" s="21" t="s">
        <v>122</v>
      </c>
      <c r="X4" s="21" t="s">
        <v>123</v>
      </c>
      <c r="Y4" s="21" t="s">
        <v>124</v>
      </c>
      <c r="Z4" s="21" t="s">
        <v>125</v>
      </c>
      <c r="AA4" s="21" t="s">
        <v>126</v>
      </c>
      <c r="AB4" s="21" t="s">
        <v>127</v>
      </c>
      <c r="AC4" s="21" t="s">
        <v>128</v>
      </c>
      <c r="AD4" s="21" t="s">
        <v>129</v>
      </c>
      <c r="AE4" s="21" t="s">
        <v>130</v>
      </c>
      <c r="AF4" s="21" t="s">
        <v>131</v>
      </c>
      <c r="AG4" s="21" t="s">
        <v>132</v>
      </c>
      <c r="AH4" s="21" t="s">
        <v>133</v>
      </c>
      <c r="AI4" s="21" t="s">
        <v>134</v>
      </c>
      <c r="AJ4" s="21" t="s">
        <v>135</v>
      </c>
      <c r="AK4" s="21" t="s">
        <v>136</v>
      </c>
      <c r="AL4" s="21" t="s">
        <v>137</v>
      </c>
      <c r="AM4" s="21" t="s">
        <v>138</v>
      </c>
      <c r="AN4" s="21" t="s">
        <v>139</v>
      </c>
      <c r="AO4" s="21" t="s">
        <v>140</v>
      </c>
      <c r="AP4" s="21" t="s">
        <v>141</v>
      </c>
      <c r="AQ4" s="21" t="s">
        <v>142</v>
      </c>
      <c r="AR4" s="21" t="s">
        <v>143</v>
      </c>
      <c r="AS4" s="21" t="s">
        <v>144</v>
      </c>
      <c r="AT4" s="21" t="s">
        <v>145</v>
      </c>
      <c r="AU4" s="21" t="s">
        <v>146</v>
      </c>
      <c r="AV4" s="21" t="s">
        <v>147</v>
      </c>
      <c r="AW4" s="21" t="s">
        <v>148</v>
      </c>
      <c r="AX4" s="21" t="s">
        <v>149</v>
      </c>
      <c r="AY4" s="21" t="s">
        <v>150</v>
      </c>
      <c r="AZ4" s="21" t="s">
        <v>151</v>
      </c>
      <c r="BA4" s="21" t="s">
        <v>152</v>
      </c>
      <c r="BB4" s="21" t="s">
        <v>153</v>
      </c>
      <c r="BD4" s="22"/>
    </row>
    <row r="5" spans="1:56" x14ac:dyDescent="0.25">
      <c r="A5" s="23" t="s">
        <v>154</v>
      </c>
      <c r="B5" s="23" t="s">
        <v>155</v>
      </c>
      <c r="C5" s="23" t="s">
        <v>156</v>
      </c>
      <c r="D5" s="23" t="s">
        <v>157</v>
      </c>
      <c r="E5" s="17" t="s">
        <v>158</v>
      </c>
      <c r="F5" s="17" t="str">
        <f>E5</f>
        <v>kregio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D5" s="22"/>
    </row>
    <row r="6" spans="1:56" x14ac:dyDescent="0.25">
      <c r="A6" s="23" t="s">
        <v>159</v>
      </c>
      <c r="B6" s="23" t="s">
        <v>160</v>
      </c>
      <c r="C6" s="23" t="s">
        <v>161</v>
      </c>
      <c r="D6" s="23" t="s">
        <v>162</v>
      </c>
      <c r="E6" s="16" t="s">
        <v>163</v>
      </c>
      <c r="F6" s="16" t="s">
        <v>163</v>
      </c>
      <c r="G6" s="16" t="s">
        <v>163</v>
      </c>
      <c r="H6" s="16" t="s">
        <v>163</v>
      </c>
      <c r="I6" s="16" t="s">
        <v>163</v>
      </c>
      <c r="J6" s="16" t="s">
        <v>163</v>
      </c>
      <c r="K6" s="16" t="s">
        <v>163</v>
      </c>
      <c r="L6" s="16" t="s">
        <v>163</v>
      </c>
      <c r="M6" s="16" t="s">
        <v>163</v>
      </c>
      <c r="N6" s="16" t="s">
        <v>163</v>
      </c>
      <c r="O6" s="16" t="s">
        <v>163</v>
      </c>
      <c r="P6" s="16" t="s">
        <v>163</v>
      </c>
      <c r="Q6" s="16" t="s">
        <v>163</v>
      </c>
      <c r="R6" s="16" t="s">
        <v>163</v>
      </c>
      <c r="S6" s="16" t="s">
        <v>163</v>
      </c>
      <c r="T6" s="16" t="s">
        <v>163</v>
      </c>
      <c r="U6" s="16" t="s">
        <v>163</v>
      </c>
      <c r="V6" s="16" t="s">
        <v>163</v>
      </c>
      <c r="W6" s="16" t="s">
        <v>163</v>
      </c>
      <c r="X6" s="16" t="s">
        <v>163</v>
      </c>
      <c r="Y6" s="16" t="s">
        <v>163</v>
      </c>
      <c r="Z6" s="16" t="s">
        <v>163</v>
      </c>
      <c r="AA6" s="16" t="s">
        <v>163</v>
      </c>
      <c r="AB6" s="16" t="s">
        <v>163</v>
      </c>
      <c r="AC6" s="16" t="s">
        <v>163</v>
      </c>
      <c r="AD6" s="16" t="s">
        <v>163</v>
      </c>
      <c r="AE6" s="16" t="s">
        <v>163</v>
      </c>
      <c r="AF6" s="16" t="s">
        <v>163</v>
      </c>
      <c r="AG6" s="16" t="s">
        <v>163</v>
      </c>
      <c r="AH6" s="16" t="s">
        <v>163</v>
      </c>
      <c r="AI6" s="16" t="s">
        <v>163</v>
      </c>
      <c r="AJ6" s="16" t="s">
        <v>163</v>
      </c>
      <c r="AK6" s="16" t="s">
        <v>163</v>
      </c>
      <c r="AL6" s="16" t="s">
        <v>163</v>
      </c>
      <c r="AM6" s="16" t="s">
        <v>163</v>
      </c>
      <c r="AN6" s="16" t="s">
        <v>163</v>
      </c>
      <c r="AO6" s="16" t="s">
        <v>163</v>
      </c>
      <c r="AP6" s="16" t="s">
        <v>163</v>
      </c>
      <c r="AQ6" s="16" t="s">
        <v>163</v>
      </c>
      <c r="AR6" s="16" t="s">
        <v>163</v>
      </c>
      <c r="AS6" s="16" t="s">
        <v>163</v>
      </c>
      <c r="AT6" s="16" t="s">
        <v>163</v>
      </c>
      <c r="AU6" s="16" t="s">
        <v>163</v>
      </c>
      <c r="AV6" s="16" t="s">
        <v>163</v>
      </c>
      <c r="AW6" s="16" t="s">
        <v>163</v>
      </c>
      <c r="AX6" s="16" t="s">
        <v>163</v>
      </c>
      <c r="AY6" s="16" t="s">
        <v>163</v>
      </c>
      <c r="AZ6" s="16" t="s">
        <v>163</v>
      </c>
      <c r="BA6" s="16" t="s">
        <v>163</v>
      </c>
      <c r="BB6" s="16" t="s">
        <v>163</v>
      </c>
      <c r="BD6" s="22"/>
    </row>
    <row r="7" spans="1:56" x14ac:dyDescent="0.25">
      <c r="A7" s="23" t="s">
        <v>164</v>
      </c>
      <c r="B7" s="23" t="s">
        <v>165</v>
      </c>
      <c r="C7" s="23" t="s">
        <v>166</v>
      </c>
      <c r="D7" s="23" t="s">
        <v>167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D7" s="22"/>
    </row>
    <row r="8" spans="1:56" x14ac:dyDescent="0.25">
      <c r="A8" s="23"/>
      <c r="B8" s="23"/>
      <c r="C8" s="23"/>
      <c r="D8" s="23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D8" s="22"/>
    </row>
    <row r="9" spans="1:56" x14ac:dyDescent="0.25">
      <c r="A9" s="23" t="s">
        <v>168</v>
      </c>
      <c r="B9" s="23" t="s">
        <v>169</v>
      </c>
      <c r="C9" s="23"/>
      <c r="D9" s="23" t="s">
        <v>170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D9" s="22"/>
    </row>
    <row r="10" spans="1:56" x14ac:dyDescent="0.25">
      <c r="A10" s="23" t="s">
        <v>171</v>
      </c>
      <c r="B10" s="23"/>
      <c r="C10" s="23" t="s">
        <v>172</v>
      </c>
      <c r="D10" s="23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D10" s="22"/>
    </row>
    <row r="11" spans="1:56" x14ac:dyDescent="0.25">
      <c r="A11" s="24" t="s">
        <v>349</v>
      </c>
      <c r="B11" s="23" t="s">
        <v>173</v>
      </c>
      <c r="C11" s="23"/>
      <c r="D11" s="23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D11" s="22"/>
    </row>
    <row r="12" spans="1:56" x14ac:dyDescent="0.25">
      <c r="A12" s="23" t="s">
        <v>174</v>
      </c>
      <c r="B12" s="23"/>
      <c r="C12" s="23" t="s">
        <v>172</v>
      </c>
      <c r="D12" s="23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D12" s="22"/>
    </row>
    <row r="13" spans="1:56" x14ac:dyDescent="0.25">
      <c r="A13" s="23" t="s">
        <v>175</v>
      </c>
      <c r="B13" s="23" t="s">
        <v>176</v>
      </c>
      <c r="C13" s="23"/>
      <c r="D13" s="23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D13" s="22"/>
    </row>
    <row r="14" spans="1:56" x14ac:dyDescent="0.25">
      <c r="A14" s="23" t="s">
        <v>177</v>
      </c>
      <c r="B14" s="23"/>
      <c r="C14" s="23" t="s">
        <v>172</v>
      </c>
      <c r="D14" s="23" t="s">
        <v>178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D14" s="22"/>
    </row>
    <row r="15" spans="1:56" x14ac:dyDescent="0.25">
      <c r="A15" s="24" t="s">
        <v>179</v>
      </c>
      <c r="B15" s="23" t="s">
        <v>180</v>
      </c>
      <c r="C15" s="23"/>
      <c r="D15" s="23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D15" s="22"/>
    </row>
    <row r="16" spans="1:56" x14ac:dyDescent="0.25">
      <c r="A16" s="24" t="s">
        <v>181</v>
      </c>
      <c r="B16" s="23" t="s">
        <v>182</v>
      </c>
      <c r="C16" s="23" t="s">
        <v>183</v>
      </c>
      <c r="D16" s="23"/>
      <c r="E16" s="17" t="s">
        <v>184</v>
      </c>
      <c r="F16" s="17" t="s">
        <v>184</v>
      </c>
      <c r="G16" s="17" t="s">
        <v>184</v>
      </c>
      <c r="H16" s="17" t="s">
        <v>184</v>
      </c>
      <c r="I16" s="17" t="s">
        <v>184</v>
      </c>
      <c r="J16" s="17" t="s">
        <v>184</v>
      </c>
      <c r="K16" s="17" t="s">
        <v>184</v>
      </c>
      <c r="L16" s="17" t="s">
        <v>184</v>
      </c>
      <c r="M16" s="17" t="s">
        <v>184</v>
      </c>
      <c r="N16" s="17" t="s">
        <v>184</v>
      </c>
      <c r="O16" s="17" t="s">
        <v>184</v>
      </c>
      <c r="P16" s="17" t="s">
        <v>184</v>
      </c>
      <c r="Q16" s="17" t="s">
        <v>184</v>
      </c>
      <c r="R16" s="17" t="s">
        <v>184</v>
      </c>
      <c r="S16" s="17" t="s">
        <v>184</v>
      </c>
      <c r="T16" s="17" t="s">
        <v>184</v>
      </c>
      <c r="U16" s="17" t="s">
        <v>184</v>
      </c>
      <c r="V16" s="17" t="s">
        <v>184</v>
      </c>
      <c r="W16" s="17" t="s">
        <v>184</v>
      </c>
      <c r="X16" s="17" t="s">
        <v>184</v>
      </c>
      <c r="Y16" s="17" t="s">
        <v>184</v>
      </c>
      <c r="Z16" s="17" t="s">
        <v>184</v>
      </c>
      <c r="AA16" s="17" t="s">
        <v>184</v>
      </c>
      <c r="AB16" s="17" t="s">
        <v>184</v>
      </c>
      <c r="AC16" s="17" t="s">
        <v>184</v>
      </c>
      <c r="AD16" s="17" t="s">
        <v>184</v>
      </c>
      <c r="AE16" s="17" t="s">
        <v>184</v>
      </c>
      <c r="AF16" s="17" t="s">
        <v>184</v>
      </c>
      <c r="AG16" s="17" t="s">
        <v>184</v>
      </c>
      <c r="AH16" s="17" t="s">
        <v>184</v>
      </c>
      <c r="AI16" s="17" t="s">
        <v>184</v>
      </c>
      <c r="AJ16" s="17" t="s">
        <v>184</v>
      </c>
      <c r="AK16" s="17" t="s">
        <v>184</v>
      </c>
      <c r="AL16" s="17" t="s">
        <v>184</v>
      </c>
      <c r="AM16" s="17" t="s">
        <v>184</v>
      </c>
      <c r="AN16" s="17" t="s">
        <v>184</v>
      </c>
      <c r="AO16" s="17" t="s">
        <v>184</v>
      </c>
      <c r="AP16" s="17" t="s">
        <v>184</v>
      </c>
      <c r="AQ16" s="17" t="s">
        <v>184</v>
      </c>
      <c r="AR16" s="17" t="s">
        <v>184</v>
      </c>
      <c r="AS16" s="17" t="s">
        <v>184</v>
      </c>
      <c r="AT16" s="17" t="s">
        <v>184</v>
      </c>
      <c r="AU16" s="17" t="s">
        <v>184</v>
      </c>
      <c r="AV16" s="17" t="s">
        <v>184</v>
      </c>
      <c r="AW16" s="17" t="s">
        <v>184</v>
      </c>
      <c r="AX16" s="17" t="s">
        <v>184</v>
      </c>
      <c r="AY16" s="17" t="s">
        <v>184</v>
      </c>
      <c r="AZ16" s="17" t="s">
        <v>184</v>
      </c>
      <c r="BA16" s="17" t="s">
        <v>184</v>
      </c>
      <c r="BB16" s="17" t="s">
        <v>184</v>
      </c>
      <c r="BD16" s="22"/>
    </row>
    <row r="17" spans="1:56" x14ac:dyDescent="0.25">
      <c r="A17" s="23" t="s">
        <v>185</v>
      </c>
      <c r="B17" s="23"/>
      <c r="C17" s="23" t="s">
        <v>172</v>
      </c>
      <c r="D17" s="23"/>
      <c r="E17" s="17" t="s">
        <v>186</v>
      </c>
      <c r="F17" s="17" t="s">
        <v>186</v>
      </c>
      <c r="G17" s="17" t="s">
        <v>186</v>
      </c>
      <c r="H17" s="17" t="s">
        <v>186</v>
      </c>
      <c r="I17" s="17" t="s">
        <v>186</v>
      </c>
      <c r="J17" s="17" t="s">
        <v>186</v>
      </c>
      <c r="K17" s="17" t="s">
        <v>186</v>
      </c>
      <c r="L17" s="17" t="s">
        <v>186</v>
      </c>
      <c r="M17" s="17" t="s">
        <v>186</v>
      </c>
      <c r="N17" s="17" t="s">
        <v>186</v>
      </c>
      <c r="O17" s="17" t="s">
        <v>186</v>
      </c>
      <c r="P17" s="17" t="s">
        <v>186</v>
      </c>
      <c r="Q17" s="17" t="s">
        <v>186</v>
      </c>
      <c r="R17" s="17" t="s">
        <v>186</v>
      </c>
      <c r="S17" s="17" t="s">
        <v>186</v>
      </c>
      <c r="T17" s="17" t="s">
        <v>186</v>
      </c>
      <c r="U17" s="17" t="s">
        <v>186</v>
      </c>
      <c r="V17" s="17" t="s">
        <v>186</v>
      </c>
      <c r="W17" s="17" t="s">
        <v>186</v>
      </c>
      <c r="X17" s="17" t="s">
        <v>186</v>
      </c>
      <c r="Y17" s="17" t="s">
        <v>186</v>
      </c>
      <c r="Z17" s="17" t="s">
        <v>186</v>
      </c>
      <c r="AA17" s="17" t="s">
        <v>186</v>
      </c>
      <c r="AB17" s="17" t="s">
        <v>186</v>
      </c>
      <c r="AC17" s="17" t="s">
        <v>186</v>
      </c>
      <c r="AD17" s="17" t="s">
        <v>186</v>
      </c>
      <c r="AE17" s="17" t="s">
        <v>186</v>
      </c>
      <c r="AF17" s="17" t="s">
        <v>186</v>
      </c>
      <c r="AG17" s="17" t="s">
        <v>186</v>
      </c>
      <c r="AH17" s="17" t="s">
        <v>186</v>
      </c>
      <c r="AI17" s="17" t="s">
        <v>186</v>
      </c>
      <c r="AJ17" s="17" t="s">
        <v>186</v>
      </c>
      <c r="AK17" s="17" t="s">
        <v>186</v>
      </c>
      <c r="AL17" s="17" t="s">
        <v>186</v>
      </c>
      <c r="AM17" s="17" t="s">
        <v>186</v>
      </c>
      <c r="AN17" s="17" t="s">
        <v>186</v>
      </c>
      <c r="AO17" s="17" t="s">
        <v>186</v>
      </c>
      <c r="AP17" s="17" t="s">
        <v>186</v>
      </c>
      <c r="AQ17" s="17" t="s">
        <v>186</v>
      </c>
      <c r="AR17" s="17" t="s">
        <v>186</v>
      </c>
      <c r="AS17" s="17" t="s">
        <v>186</v>
      </c>
      <c r="AT17" s="17" t="s">
        <v>186</v>
      </c>
      <c r="AU17" s="17" t="s">
        <v>186</v>
      </c>
      <c r="AV17" s="17" t="s">
        <v>186</v>
      </c>
      <c r="AW17" s="17" t="s">
        <v>186</v>
      </c>
      <c r="AX17" s="17" t="s">
        <v>186</v>
      </c>
      <c r="AY17" s="17" t="s">
        <v>186</v>
      </c>
      <c r="AZ17" s="17" t="s">
        <v>186</v>
      </c>
      <c r="BA17" s="17" t="s">
        <v>186</v>
      </c>
      <c r="BB17" s="17" t="s">
        <v>186</v>
      </c>
      <c r="BD17" s="22"/>
    </row>
    <row r="18" spans="1:56" x14ac:dyDescent="0.25">
      <c r="A18" s="23" t="s">
        <v>187</v>
      </c>
      <c r="B18" s="23"/>
      <c r="C18" s="23" t="s">
        <v>172</v>
      </c>
      <c r="D18" s="23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D18" s="22"/>
    </row>
    <row r="19" spans="1:56" x14ac:dyDescent="0.25">
      <c r="A19" s="24" t="s">
        <v>188</v>
      </c>
      <c r="B19" s="23" t="s">
        <v>189</v>
      </c>
      <c r="C19" s="23"/>
      <c r="D19" s="23"/>
      <c r="E19" s="17" t="s">
        <v>190</v>
      </c>
      <c r="F19" s="17" t="s">
        <v>190</v>
      </c>
      <c r="G19" s="17" t="s">
        <v>190</v>
      </c>
      <c r="H19" s="17" t="s">
        <v>190</v>
      </c>
      <c r="I19" s="17" t="s">
        <v>190</v>
      </c>
      <c r="J19" s="17" t="s">
        <v>190</v>
      </c>
      <c r="K19" s="17" t="s">
        <v>190</v>
      </c>
      <c r="L19" s="17" t="s">
        <v>190</v>
      </c>
      <c r="M19" s="17" t="s">
        <v>190</v>
      </c>
      <c r="N19" s="17" t="s">
        <v>190</v>
      </c>
      <c r="O19" s="17" t="s">
        <v>190</v>
      </c>
      <c r="P19" s="17" t="s">
        <v>190</v>
      </c>
      <c r="Q19" s="17" t="s">
        <v>190</v>
      </c>
      <c r="R19" s="17" t="s">
        <v>190</v>
      </c>
      <c r="S19" s="17" t="s">
        <v>190</v>
      </c>
      <c r="T19" s="17" t="s">
        <v>190</v>
      </c>
      <c r="U19" s="17" t="s">
        <v>190</v>
      </c>
      <c r="V19" s="17" t="s">
        <v>190</v>
      </c>
      <c r="W19" s="17" t="s">
        <v>190</v>
      </c>
      <c r="X19" s="17" t="s">
        <v>190</v>
      </c>
      <c r="Y19" s="17" t="s">
        <v>190</v>
      </c>
      <c r="Z19" s="17" t="s">
        <v>190</v>
      </c>
      <c r="AA19" s="17" t="s">
        <v>190</v>
      </c>
      <c r="AB19" s="17" t="s">
        <v>190</v>
      </c>
      <c r="AC19" s="17" t="s">
        <v>190</v>
      </c>
      <c r="AD19" s="17" t="s">
        <v>190</v>
      </c>
      <c r="AE19" s="17" t="s">
        <v>190</v>
      </c>
      <c r="AF19" s="17" t="s">
        <v>190</v>
      </c>
      <c r="AG19" s="17" t="s">
        <v>190</v>
      </c>
      <c r="AH19" s="17" t="s">
        <v>190</v>
      </c>
      <c r="AI19" s="17" t="s">
        <v>190</v>
      </c>
      <c r="AJ19" s="17" t="s">
        <v>190</v>
      </c>
      <c r="AK19" s="17" t="s">
        <v>190</v>
      </c>
      <c r="AL19" s="17" t="s">
        <v>190</v>
      </c>
      <c r="AM19" s="17" t="s">
        <v>190</v>
      </c>
      <c r="AN19" s="17" t="s">
        <v>190</v>
      </c>
      <c r="AO19" s="17" t="s">
        <v>190</v>
      </c>
      <c r="AP19" s="17" t="s">
        <v>190</v>
      </c>
      <c r="AQ19" s="17" t="s">
        <v>190</v>
      </c>
      <c r="AR19" s="17" t="s">
        <v>190</v>
      </c>
      <c r="AS19" s="17" t="s">
        <v>190</v>
      </c>
      <c r="AT19" s="17" t="s">
        <v>190</v>
      </c>
      <c r="AU19" s="17" t="s">
        <v>190</v>
      </c>
      <c r="AV19" s="17" t="s">
        <v>190</v>
      </c>
      <c r="AW19" s="17" t="s">
        <v>190</v>
      </c>
      <c r="AX19" s="17" t="s">
        <v>190</v>
      </c>
      <c r="AY19" s="17" t="s">
        <v>190</v>
      </c>
      <c r="AZ19" s="17" t="s">
        <v>190</v>
      </c>
      <c r="BA19" s="17" t="s">
        <v>190</v>
      </c>
      <c r="BB19" s="17" t="s">
        <v>190</v>
      </c>
      <c r="BD19" s="22"/>
    </row>
    <row r="20" spans="1:56" x14ac:dyDescent="0.25">
      <c r="A20" s="23" t="s">
        <v>191</v>
      </c>
      <c r="B20" s="23" t="s">
        <v>192</v>
      </c>
      <c r="C20" s="23"/>
      <c r="D20" s="23" t="s">
        <v>193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D20" s="22"/>
    </row>
    <row r="21" spans="1:56" x14ac:dyDescent="0.25">
      <c r="A21" s="23" t="s">
        <v>194</v>
      </c>
      <c r="B21" s="23"/>
      <c r="C21" s="23" t="s">
        <v>172</v>
      </c>
      <c r="D21" s="23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D21" s="22"/>
    </row>
    <row r="22" spans="1:56" x14ac:dyDescent="0.25">
      <c r="A22" s="23" t="s">
        <v>195</v>
      </c>
      <c r="B22" s="23"/>
      <c r="C22" s="23" t="s">
        <v>172</v>
      </c>
      <c r="D22" s="23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D22" s="22"/>
    </row>
    <row r="23" spans="1:56" x14ac:dyDescent="0.25">
      <c r="A23" s="23" t="s">
        <v>196</v>
      </c>
      <c r="B23" s="23"/>
      <c r="C23" s="23" t="s">
        <v>172</v>
      </c>
      <c r="D23" s="23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D23" s="22"/>
    </row>
    <row r="24" spans="1:56" x14ac:dyDescent="0.25">
      <c r="A24" s="23" t="s">
        <v>197</v>
      </c>
      <c r="B24" s="23"/>
      <c r="C24" s="23" t="s">
        <v>172</v>
      </c>
      <c r="D24" s="23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D24" s="22"/>
    </row>
    <row r="25" spans="1:56" x14ac:dyDescent="0.25">
      <c r="A25" s="23" t="s">
        <v>198</v>
      </c>
      <c r="B25" s="23"/>
      <c r="C25" s="23" t="s">
        <v>172</v>
      </c>
      <c r="D25" s="23"/>
      <c r="E25" s="17" t="s">
        <v>199</v>
      </c>
      <c r="F25" s="17" t="s">
        <v>199</v>
      </c>
      <c r="G25" s="17" t="s">
        <v>199</v>
      </c>
      <c r="H25" s="17" t="s">
        <v>199</v>
      </c>
      <c r="I25" s="17" t="s">
        <v>199</v>
      </c>
      <c r="J25" s="17" t="s">
        <v>199</v>
      </c>
      <c r="K25" s="17" t="s">
        <v>199</v>
      </c>
      <c r="L25" s="17" t="s">
        <v>199</v>
      </c>
      <c r="M25" s="17" t="s">
        <v>199</v>
      </c>
      <c r="N25" s="17" t="s">
        <v>199</v>
      </c>
      <c r="O25" s="17" t="s">
        <v>199</v>
      </c>
      <c r="P25" s="17" t="s">
        <v>199</v>
      </c>
      <c r="Q25" s="17" t="s">
        <v>199</v>
      </c>
      <c r="R25" s="17" t="s">
        <v>199</v>
      </c>
      <c r="S25" s="17" t="s">
        <v>199</v>
      </c>
      <c r="T25" s="17" t="s">
        <v>199</v>
      </c>
      <c r="U25" s="17" t="s">
        <v>199</v>
      </c>
      <c r="V25" s="17" t="s">
        <v>199</v>
      </c>
      <c r="W25" s="17" t="s">
        <v>199</v>
      </c>
      <c r="X25" s="17" t="s">
        <v>199</v>
      </c>
      <c r="Y25" s="17" t="s">
        <v>199</v>
      </c>
      <c r="Z25" s="17" t="s">
        <v>199</v>
      </c>
      <c r="AA25" s="17" t="s">
        <v>199</v>
      </c>
      <c r="AB25" s="17" t="s">
        <v>199</v>
      </c>
      <c r="AC25" s="17" t="s">
        <v>199</v>
      </c>
      <c r="AD25" s="17" t="s">
        <v>199</v>
      </c>
      <c r="AE25" s="17" t="s">
        <v>199</v>
      </c>
      <c r="AF25" s="17" t="s">
        <v>199</v>
      </c>
      <c r="AG25" s="17" t="s">
        <v>199</v>
      </c>
      <c r="AH25" s="17" t="s">
        <v>199</v>
      </c>
      <c r="AI25" s="17" t="s">
        <v>199</v>
      </c>
      <c r="AJ25" s="17" t="s">
        <v>199</v>
      </c>
      <c r="AK25" s="17" t="s">
        <v>199</v>
      </c>
      <c r="AL25" s="17" t="s">
        <v>199</v>
      </c>
      <c r="AM25" s="17" t="s">
        <v>199</v>
      </c>
      <c r="AN25" s="17" t="s">
        <v>199</v>
      </c>
      <c r="AO25" s="17" t="s">
        <v>199</v>
      </c>
      <c r="AP25" s="17" t="s">
        <v>199</v>
      </c>
      <c r="AQ25" s="17" t="s">
        <v>199</v>
      </c>
      <c r="AR25" s="17" t="s">
        <v>199</v>
      </c>
      <c r="AS25" s="17" t="s">
        <v>199</v>
      </c>
      <c r="AT25" s="17" t="s">
        <v>199</v>
      </c>
      <c r="AU25" s="17" t="s">
        <v>199</v>
      </c>
      <c r="AV25" s="17" t="s">
        <v>199</v>
      </c>
      <c r="AW25" s="17" t="s">
        <v>199</v>
      </c>
      <c r="AX25" s="17" t="s">
        <v>199</v>
      </c>
      <c r="AY25" s="17" t="s">
        <v>199</v>
      </c>
      <c r="AZ25" s="17" t="s">
        <v>199</v>
      </c>
      <c r="BA25" s="17" t="s">
        <v>199</v>
      </c>
      <c r="BB25" s="17" t="s">
        <v>199</v>
      </c>
      <c r="BD25" s="22"/>
    </row>
    <row r="26" spans="1:56" x14ac:dyDescent="0.25">
      <c r="A26" s="24" t="s">
        <v>200</v>
      </c>
      <c r="B26" s="23" t="s">
        <v>201</v>
      </c>
      <c r="C26" s="23" t="s">
        <v>202</v>
      </c>
      <c r="D26" s="23" t="s">
        <v>203</v>
      </c>
      <c r="E26" s="17" t="s">
        <v>204</v>
      </c>
      <c r="F26" s="17" t="s">
        <v>204</v>
      </c>
      <c r="G26" s="17" t="s">
        <v>204</v>
      </c>
      <c r="H26" s="17" t="s">
        <v>204</v>
      </c>
      <c r="I26" s="17" t="s">
        <v>204</v>
      </c>
      <c r="J26" s="17" t="s">
        <v>204</v>
      </c>
      <c r="K26" s="17" t="s">
        <v>204</v>
      </c>
      <c r="L26" s="17" t="s">
        <v>204</v>
      </c>
      <c r="M26" s="17" t="s">
        <v>204</v>
      </c>
      <c r="N26" s="17" t="s">
        <v>204</v>
      </c>
      <c r="O26" s="17" t="s">
        <v>204</v>
      </c>
      <c r="P26" s="17" t="s">
        <v>204</v>
      </c>
      <c r="Q26" s="17" t="s">
        <v>204</v>
      </c>
      <c r="R26" s="17" t="s">
        <v>204</v>
      </c>
      <c r="S26" s="17" t="s">
        <v>204</v>
      </c>
      <c r="T26" s="17" t="s">
        <v>204</v>
      </c>
      <c r="U26" s="17" t="s">
        <v>204</v>
      </c>
      <c r="V26" s="17" t="s">
        <v>204</v>
      </c>
      <c r="W26" s="17" t="s">
        <v>204</v>
      </c>
      <c r="X26" s="17" t="s">
        <v>204</v>
      </c>
      <c r="Y26" s="17" t="s">
        <v>204</v>
      </c>
      <c r="Z26" s="17" t="s">
        <v>204</v>
      </c>
      <c r="AA26" s="17" t="s">
        <v>204</v>
      </c>
      <c r="AB26" s="17" t="s">
        <v>204</v>
      </c>
      <c r="AC26" s="17" t="s">
        <v>204</v>
      </c>
      <c r="AD26" s="17" t="s">
        <v>204</v>
      </c>
      <c r="AE26" s="17" t="s">
        <v>204</v>
      </c>
      <c r="AF26" s="17" t="s">
        <v>204</v>
      </c>
      <c r="AG26" s="17" t="s">
        <v>204</v>
      </c>
      <c r="AH26" s="17" t="s">
        <v>204</v>
      </c>
      <c r="AI26" s="17" t="s">
        <v>204</v>
      </c>
      <c r="AJ26" s="17" t="s">
        <v>204</v>
      </c>
      <c r="AK26" s="17" t="s">
        <v>204</v>
      </c>
      <c r="AL26" s="17" t="s">
        <v>204</v>
      </c>
      <c r="AM26" s="17" t="s">
        <v>204</v>
      </c>
      <c r="AN26" s="17" t="s">
        <v>204</v>
      </c>
      <c r="AO26" s="17" t="s">
        <v>204</v>
      </c>
      <c r="AP26" s="17" t="s">
        <v>204</v>
      </c>
      <c r="AQ26" s="17" t="s">
        <v>204</v>
      </c>
      <c r="AR26" s="17" t="s">
        <v>204</v>
      </c>
      <c r="AS26" s="17" t="s">
        <v>204</v>
      </c>
      <c r="AT26" s="17" t="s">
        <v>204</v>
      </c>
      <c r="AU26" s="17" t="s">
        <v>204</v>
      </c>
      <c r="AV26" s="17" t="s">
        <v>204</v>
      </c>
      <c r="AW26" s="17" t="s">
        <v>204</v>
      </c>
      <c r="AX26" s="17" t="s">
        <v>204</v>
      </c>
      <c r="AY26" s="17" t="s">
        <v>204</v>
      </c>
      <c r="AZ26" s="17" t="s">
        <v>204</v>
      </c>
      <c r="BA26" s="17" t="s">
        <v>204</v>
      </c>
      <c r="BB26" s="17" t="s">
        <v>204</v>
      </c>
      <c r="BD26" s="22"/>
    </row>
    <row r="27" spans="1:56" x14ac:dyDescent="0.25">
      <c r="A27" s="23" t="s">
        <v>205</v>
      </c>
      <c r="B27" s="23"/>
      <c r="C27" s="23" t="s">
        <v>172</v>
      </c>
      <c r="D27" s="23"/>
      <c r="E27" s="17" t="s">
        <v>206</v>
      </c>
      <c r="F27" s="17" t="s">
        <v>206</v>
      </c>
      <c r="G27" s="17" t="s">
        <v>206</v>
      </c>
      <c r="H27" s="17" t="s">
        <v>206</v>
      </c>
      <c r="I27" s="17" t="s">
        <v>206</v>
      </c>
      <c r="J27" s="17" t="s">
        <v>206</v>
      </c>
      <c r="K27" s="17" t="s">
        <v>206</v>
      </c>
      <c r="L27" s="17" t="s">
        <v>206</v>
      </c>
      <c r="M27" s="17" t="s">
        <v>206</v>
      </c>
      <c r="N27" s="17" t="s">
        <v>206</v>
      </c>
      <c r="O27" s="17" t="s">
        <v>206</v>
      </c>
      <c r="P27" s="17" t="s">
        <v>206</v>
      </c>
      <c r="Q27" s="17" t="s">
        <v>206</v>
      </c>
      <c r="R27" s="17" t="s">
        <v>206</v>
      </c>
      <c r="S27" s="17" t="s">
        <v>206</v>
      </c>
      <c r="T27" s="17" t="s">
        <v>206</v>
      </c>
      <c r="U27" s="17" t="s">
        <v>206</v>
      </c>
      <c r="V27" s="17" t="s">
        <v>206</v>
      </c>
      <c r="W27" s="17" t="s">
        <v>206</v>
      </c>
      <c r="X27" s="17" t="s">
        <v>206</v>
      </c>
      <c r="Y27" s="17" t="s">
        <v>206</v>
      </c>
      <c r="Z27" s="17" t="s">
        <v>206</v>
      </c>
      <c r="AA27" s="17" t="s">
        <v>206</v>
      </c>
      <c r="AB27" s="17" t="s">
        <v>206</v>
      </c>
      <c r="AC27" s="17" t="s">
        <v>206</v>
      </c>
      <c r="AD27" s="17" t="s">
        <v>206</v>
      </c>
      <c r="AE27" s="17" t="s">
        <v>206</v>
      </c>
      <c r="AF27" s="17" t="s">
        <v>206</v>
      </c>
      <c r="AG27" s="17" t="s">
        <v>206</v>
      </c>
      <c r="AH27" s="17" t="s">
        <v>206</v>
      </c>
      <c r="AI27" s="17" t="s">
        <v>206</v>
      </c>
      <c r="AJ27" s="17" t="s">
        <v>206</v>
      </c>
      <c r="AK27" s="17" t="s">
        <v>206</v>
      </c>
      <c r="AL27" s="17" t="s">
        <v>206</v>
      </c>
      <c r="AM27" s="17" t="s">
        <v>206</v>
      </c>
      <c r="AN27" s="17" t="s">
        <v>206</v>
      </c>
      <c r="AO27" s="17" t="s">
        <v>206</v>
      </c>
      <c r="AP27" s="17" t="s">
        <v>206</v>
      </c>
      <c r="AQ27" s="17" t="s">
        <v>206</v>
      </c>
      <c r="AR27" s="17" t="s">
        <v>206</v>
      </c>
      <c r="AS27" s="17" t="s">
        <v>206</v>
      </c>
      <c r="AT27" s="17" t="s">
        <v>206</v>
      </c>
      <c r="AU27" s="17" t="s">
        <v>206</v>
      </c>
      <c r="AV27" s="17" t="s">
        <v>206</v>
      </c>
      <c r="AW27" s="17" t="s">
        <v>206</v>
      </c>
      <c r="AX27" s="17" t="s">
        <v>206</v>
      </c>
      <c r="AY27" s="17" t="s">
        <v>206</v>
      </c>
      <c r="AZ27" s="17" t="s">
        <v>206</v>
      </c>
      <c r="BA27" s="17" t="s">
        <v>206</v>
      </c>
      <c r="BB27" s="17" t="s">
        <v>206</v>
      </c>
      <c r="BD27" s="22"/>
    </row>
    <row r="28" spans="1:56" x14ac:dyDescent="0.25">
      <c r="A28" s="23" t="s">
        <v>207</v>
      </c>
      <c r="B28" s="23"/>
      <c r="C28" s="23" t="s">
        <v>172</v>
      </c>
      <c r="D28" s="23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D28" s="22"/>
    </row>
    <row r="29" spans="1:56" x14ac:dyDescent="0.25">
      <c r="A29" s="23" t="s">
        <v>208</v>
      </c>
      <c r="B29" s="23" t="s">
        <v>209</v>
      </c>
      <c r="C29" s="23" t="s">
        <v>172</v>
      </c>
      <c r="D29" s="23"/>
      <c r="E29" s="17" t="s">
        <v>210</v>
      </c>
      <c r="F29" s="17" t="s">
        <v>210</v>
      </c>
      <c r="G29" s="17" t="s">
        <v>210</v>
      </c>
      <c r="H29" s="17" t="s">
        <v>210</v>
      </c>
      <c r="I29" s="17" t="s">
        <v>210</v>
      </c>
      <c r="J29" s="17" t="s">
        <v>210</v>
      </c>
      <c r="K29" s="17" t="s">
        <v>210</v>
      </c>
      <c r="L29" s="17" t="s">
        <v>210</v>
      </c>
      <c r="M29" s="17" t="s">
        <v>210</v>
      </c>
      <c r="N29" s="17" t="s">
        <v>210</v>
      </c>
      <c r="O29" s="17" t="s">
        <v>210</v>
      </c>
      <c r="P29" s="17" t="s">
        <v>210</v>
      </c>
      <c r="Q29" s="17" t="s">
        <v>210</v>
      </c>
      <c r="R29" s="17" t="s">
        <v>210</v>
      </c>
      <c r="S29" s="17" t="s">
        <v>210</v>
      </c>
      <c r="T29" s="17" t="s">
        <v>210</v>
      </c>
      <c r="U29" s="17" t="s">
        <v>210</v>
      </c>
      <c r="V29" s="17" t="s">
        <v>210</v>
      </c>
      <c r="W29" s="17" t="s">
        <v>210</v>
      </c>
      <c r="X29" s="17" t="s">
        <v>210</v>
      </c>
      <c r="Y29" s="17" t="s">
        <v>210</v>
      </c>
      <c r="Z29" s="17" t="s">
        <v>210</v>
      </c>
      <c r="AA29" s="17" t="s">
        <v>210</v>
      </c>
      <c r="AB29" s="17" t="s">
        <v>210</v>
      </c>
      <c r="AC29" s="17" t="s">
        <v>210</v>
      </c>
      <c r="AD29" s="17" t="s">
        <v>210</v>
      </c>
      <c r="AE29" s="17" t="s">
        <v>210</v>
      </c>
      <c r="AF29" s="17" t="s">
        <v>210</v>
      </c>
      <c r="AG29" s="17" t="s">
        <v>210</v>
      </c>
      <c r="AH29" s="17" t="s">
        <v>210</v>
      </c>
      <c r="AI29" s="17" t="s">
        <v>210</v>
      </c>
      <c r="AJ29" s="17" t="s">
        <v>210</v>
      </c>
      <c r="AK29" s="17" t="s">
        <v>210</v>
      </c>
      <c r="AL29" s="17" t="s">
        <v>210</v>
      </c>
      <c r="AM29" s="17" t="s">
        <v>210</v>
      </c>
      <c r="AN29" s="17" t="s">
        <v>210</v>
      </c>
      <c r="AO29" s="17" t="s">
        <v>210</v>
      </c>
      <c r="AP29" s="17" t="s">
        <v>210</v>
      </c>
      <c r="AQ29" s="17" t="s">
        <v>210</v>
      </c>
      <c r="AR29" s="17" t="s">
        <v>210</v>
      </c>
      <c r="AS29" s="17" t="s">
        <v>210</v>
      </c>
      <c r="AT29" s="17" t="s">
        <v>210</v>
      </c>
      <c r="AU29" s="17" t="s">
        <v>210</v>
      </c>
      <c r="AV29" s="17" t="s">
        <v>210</v>
      </c>
      <c r="AW29" s="17" t="s">
        <v>210</v>
      </c>
      <c r="AX29" s="17" t="s">
        <v>210</v>
      </c>
      <c r="AY29" s="17" t="s">
        <v>210</v>
      </c>
      <c r="AZ29" s="17" t="s">
        <v>210</v>
      </c>
      <c r="BA29" s="17" t="s">
        <v>210</v>
      </c>
      <c r="BB29" s="17" t="s">
        <v>210</v>
      </c>
      <c r="BD29" s="22"/>
    </row>
    <row r="30" spans="1:56" x14ac:dyDescent="0.25">
      <c r="A30" s="23" t="s">
        <v>211</v>
      </c>
      <c r="B30" s="23" t="s">
        <v>212</v>
      </c>
      <c r="C30" s="23" t="s">
        <v>172</v>
      </c>
      <c r="D30" s="23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D30" s="22"/>
    </row>
    <row r="31" spans="1:56" x14ac:dyDescent="0.25">
      <c r="A31" s="23" t="s">
        <v>213</v>
      </c>
      <c r="B31" s="23" t="s">
        <v>214</v>
      </c>
      <c r="C31" s="23" t="s">
        <v>172</v>
      </c>
      <c r="D31" s="23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D31" s="22"/>
    </row>
    <row r="32" spans="1:56" x14ac:dyDescent="0.25">
      <c r="A32" s="23" t="s">
        <v>215</v>
      </c>
      <c r="B32" s="23" t="s">
        <v>214</v>
      </c>
      <c r="C32" s="23" t="s">
        <v>172</v>
      </c>
      <c r="D32" s="23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D32" s="22"/>
    </row>
    <row r="33" spans="1:56" x14ac:dyDescent="0.25">
      <c r="A33" s="23" t="s">
        <v>216</v>
      </c>
      <c r="B33" s="23" t="s">
        <v>214</v>
      </c>
      <c r="C33" s="23" t="s">
        <v>172</v>
      </c>
      <c r="D33" s="23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D33" s="22"/>
    </row>
    <row r="34" spans="1:56" x14ac:dyDescent="0.25">
      <c r="A34" s="23" t="s">
        <v>217</v>
      </c>
      <c r="B34" s="23" t="s">
        <v>214</v>
      </c>
      <c r="C34" s="23" t="s">
        <v>172</v>
      </c>
      <c r="D34" s="23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D34" s="22"/>
    </row>
    <row r="35" spans="1:56" x14ac:dyDescent="0.25">
      <c r="A35" s="23" t="s">
        <v>218</v>
      </c>
      <c r="B35" s="23" t="s">
        <v>214</v>
      </c>
      <c r="C35" s="23" t="s">
        <v>172</v>
      </c>
      <c r="D35" s="23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D35" s="22"/>
    </row>
    <row r="36" spans="1:56" x14ac:dyDescent="0.25">
      <c r="A36" s="23" t="s">
        <v>219</v>
      </c>
      <c r="B36" s="23" t="s">
        <v>214</v>
      </c>
      <c r="C36" s="23" t="s">
        <v>172</v>
      </c>
      <c r="D36" s="23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D36" s="22"/>
    </row>
    <row r="37" spans="1:56" x14ac:dyDescent="0.25">
      <c r="A37" s="23" t="s">
        <v>220</v>
      </c>
      <c r="B37" s="23" t="s">
        <v>214</v>
      </c>
      <c r="C37" s="23" t="s">
        <v>172</v>
      </c>
      <c r="D37" s="23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D37" s="22"/>
    </row>
    <row r="38" spans="1:56" x14ac:dyDescent="0.25">
      <c r="A38" s="23" t="s">
        <v>221</v>
      </c>
      <c r="B38" s="23" t="s">
        <v>214</v>
      </c>
      <c r="C38" s="23" t="s">
        <v>172</v>
      </c>
      <c r="D38" s="23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D38" s="22"/>
    </row>
    <row r="39" spans="1:56" x14ac:dyDescent="0.25">
      <c r="A39" s="23" t="s">
        <v>222</v>
      </c>
      <c r="B39" s="23" t="s">
        <v>214</v>
      </c>
      <c r="C39" s="23" t="s">
        <v>172</v>
      </c>
      <c r="D39" s="23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D39" s="22"/>
    </row>
    <row r="40" spans="1:56" x14ac:dyDescent="0.25">
      <c r="A40" s="23" t="s">
        <v>223</v>
      </c>
      <c r="B40" s="23" t="s">
        <v>214</v>
      </c>
      <c r="C40" s="23" t="s">
        <v>172</v>
      </c>
      <c r="D40" s="23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D40" s="22"/>
    </row>
    <row r="41" spans="1:56" x14ac:dyDescent="0.25">
      <c r="A41" s="17" t="s">
        <v>224</v>
      </c>
      <c r="B41" s="17"/>
      <c r="C41" s="23" t="s">
        <v>172</v>
      </c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D41" s="22"/>
    </row>
    <row r="42" spans="1:56" x14ac:dyDescent="0.25">
      <c r="A42" s="18" t="s">
        <v>225</v>
      </c>
      <c r="C42" s="23" t="s">
        <v>172</v>
      </c>
      <c r="E42" s="18" t="s">
        <v>226</v>
      </c>
      <c r="F42" s="18" t="s">
        <v>226</v>
      </c>
      <c r="G42" s="18" t="s">
        <v>226</v>
      </c>
      <c r="H42" s="18" t="s">
        <v>226</v>
      </c>
      <c r="I42" s="18" t="s">
        <v>226</v>
      </c>
      <c r="J42" s="18" t="s">
        <v>226</v>
      </c>
      <c r="K42" s="18" t="s">
        <v>226</v>
      </c>
      <c r="L42" s="18" t="s">
        <v>226</v>
      </c>
      <c r="M42" s="18" t="s">
        <v>226</v>
      </c>
      <c r="N42" s="18" t="s">
        <v>226</v>
      </c>
      <c r="O42" s="18" t="s">
        <v>226</v>
      </c>
      <c r="P42" s="18" t="s">
        <v>226</v>
      </c>
      <c r="Q42" s="18" t="s">
        <v>226</v>
      </c>
      <c r="R42" s="18" t="s">
        <v>226</v>
      </c>
      <c r="S42" s="18" t="s">
        <v>226</v>
      </c>
      <c r="T42" s="18" t="s">
        <v>226</v>
      </c>
      <c r="U42" s="18" t="s">
        <v>226</v>
      </c>
      <c r="V42" s="18" t="s">
        <v>226</v>
      </c>
      <c r="W42" s="18" t="s">
        <v>226</v>
      </c>
      <c r="X42" s="18" t="s">
        <v>226</v>
      </c>
      <c r="Y42" s="18" t="s">
        <v>226</v>
      </c>
      <c r="Z42" s="18" t="s">
        <v>226</v>
      </c>
      <c r="AA42" s="18" t="s">
        <v>226</v>
      </c>
      <c r="AB42" s="18" t="s">
        <v>226</v>
      </c>
      <c r="AC42" s="18" t="s">
        <v>226</v>
      </c>
      <c r="AD42" s="18" t="s">
        <v>226</v>
      </c>
      <c r="AE42" s="18" t="s">
        <v>226</v>
      </c>
      <c r="AF42" s="18" t="s">
        <v>226</v>
      </c>
      <c r="AG42" s="18" t="s">
        <v>226</v>
      </c>
      <c r="AH42" s="18" t="s">
        <v>226</v>
      </c>
      <c r="AI42" s="18" t="s">
        <v>226</v>
      </c>
      <c r="AJ42" s="18" t="s">
        <v>226</v>
      </c>
      <c r="AK42" s="18" t="s">
        <v>226</v>
      </c>
      <c r="AL42" s="18" t="s">
        <v>226</v>
      </c>
      <c r="AM42" s="18" t="s">
        <v>226</v>
      </c>
      <c r="AN42" s="18" t="s">
        <v>226</v>
      </c>
      <c r="AO42" s="18" t="s">
        <v>226</v>
      </c>
      <c r="AP42" s="18" t="s">
        <v>226</v>
      </c>
      <c r="AQ42" s="18" t="s">
        <v>226</v>
      </c>
      <c r="AR42" s="18" t="s">
        <v>226</v>
      </c>
      <c r="AS42" s="18" t="s">
        <v>226</v>
      </c>
      <c r="AT42" s="18" t="s">
        <v>226</v>
      </c>
      <c r="AU42" s="18" t="s">
        <v>226</v>
      </c>
      <c r="AV42" s="18" t="s">
        <v>226</v>
      </c>
      <c r="AW42" s="18" t="s">
        <v>226</v>
      </c>
      <c r="AX42" s="18" t="s">
        <v>226</v>
      </c>
      <c r="AY42" s="18" t="s">
        <v>226</v>
      </c>
      <c r="AZ42" s="18" t="s">
        <v>226</v>
      </c>
      <c r="BA42" s="18" t="s">
        <v>226</v>
      </c>
      <c r="BB42" s="18" t="s">
        <v>226</v>
      </c>
    </row>
  </sheetData>
  <mergeCells count="2">
    <mergeCell ref="A3:A4"/>
    <mergeCell ref="B3:B4"/>
  </mergeCells>
  <pageMargins left="0.7" right="0.7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topLeftCell="S1" zoomScaleNormal="100" workbookViewId="0">
      <selection activeCell="AD11" sqref="AD11"/>
    </sheetView>
  </sheetViews>
  <sheetFormatPr baseColWidth="10" defaultColWidth="11.42578125" defaultRowHeight="15" x14ac:dyDescent="0.25"/>
  <cols>
    <col min="1" max="1" width="6.140625" style="25" customWidth="1"/>
    <col min="2" max="2" width="8.28515625" style="25" customWidth="1"/>
    <col min="3" max="3" width="4" style="26" customWidth="1"/>
    <col min="4" max="5" width="4" style="25" customWidth="1"/>
    <col min="6" max="6" width="9" style="18" customWidth="1"/>
    <col min="7" max="7" width="35" style="18" customWidth="1"/>
    <col min="8" max="8" width="10" style="18" customWidth="1"/>
    <col min="9" max="9" width="7.28515625" style="18" customWidth="1"/>
    <col min="10" max="10" width="12.5703125" style="18" customWidth="1"/>
    <col min="11" max="11" width="12.7109375" style="18" customWidth="1"/>
    <col min="12" max="12" width="18.42578125" style="18" customWidth="1"/>
    <col min="13" max="13" width="11.140625" style="18" customWidth="1"/>
    <col min="14" max="14" width="8.28515625" style="18" customWidth="1"/>
    <col min="15" max="15" width="8.5703125" style="18" customWidth="1"/>
    <col min="16" max="16" width="12" style="18" customWidth="1"/>
    <col min="17" max="17" width="20.7109375" style="18" customWidth="1"/>
    <col min="18" max="18" width="12" style="18" customWidth="1"/>
    <col min="19" max="1023" width="11.42578125" style="18"/>
  </cols>
  <sheetData>
    <row r="1" spans="1:41" s="28" customFormat="1" ht="21" customHeight="1" x14ac:dyDescent="0.2">
      <c r="A1" s="27" t="s">
        <v>227</v>
      </c>
      <c r="B1" s="27" t="s">
        <v>228</v>
      </c>
      <c r="C1" s="27" t="s">
        <v>229</v>
      </c>
      <c r="D1" s="27" t="s">
        <v>230</v>
      </c>
      <c r="E1" s="27" t="s">
        <v>231</v>
      </c>
      <c r="F1" s="27" t="s">
        <v>232</v>
      </c>
      <c r="G1" s="27" t="s">
        <v>233</v>
      </c>
      <c r="H1" s="27" t="s">
        <v>234</v>
      </c>
      <c r="I1" s="27" t="s">
        <v>164</v>
      </c>
      <c r="J1" s="27" t="s">
        <v>235</v>
      </c>
      <c r="K1" s="27" t="s">
        <v>236</v>
      </c>
      <c r="L1" s="27" t="s">
        <v>237</v>
      </c>
      <c r="M1" s="27" t="s">
        <v>238</v>
      </c>
      <c r="N1" s="27" t="s">
        <v>239</v>
      </c>
      <c r="O1" s="27" t="s">
        <v>240</v>
      </c>
      <c r="P1" s="27" t="s">
        <v>241</v>
      </c>
      <c r="Q1" s="27" t="s">
        <v>242</v>
      </c>
      <c r="R1" s="27" t="s">
        <v>243</v>
      </c>
      <c r="S1" s="27" t="s">
        <v>244</v>
      </c>
      <c r="T1" s="27" t="s">
        <v>245</v>
      </c>
      <c r="U1" s="27" t="s">
        <v>246</v>
      </c>
      <c r="V1" s="27" t="s">
        <v>191</v>
      </c>
      <c r="W1" s="27" t="s">
        <v>198</v>
      </c>
      <c r="X1" s="27" t="s">
        <v>207</v>
      </c>
      <c r="Y1" s="27" t="s">
        <v>247</v>
      </c>
      <c r="Z1" s="27" t="s">
        <v>248</v>
      </c>
      <c r="AA1" s="27" t="s">
        <v>249</v>
      </c>
      <c r="AB1" s="27" t="s">
        <v>250</v>
      </c>
      <c r="AC1" s="27" t="s">
        <v>251</v>
      </c>
      <c r="AD1" s="27" t="s">
        <v>252</v>
      </c>
      <c r="AE1" s="27" t="s">
        <v>205</v>
      </c>
      <c r="AF1" s="27" t="s">
        <v>175</v>
      </c>
      <c r="AG1" s="27" t="s">
        <v>177</v>
      </c>
      <c r="AH1" s="27" t="s">
        <v>253</v>
      </c>
      <c r="AI1" s="27" t="s">
        <v>254</v>
      </c>
      <c r="AJ1" s="27" t="s">
        <v>255</v>
      </c>
      <c r="AK1" s="27" t="s">
        <v>256</v>
      </c>
      <c r="AL1" s="27" t="s">
        <v>257</v>
      </c>
      <c r="AM1" s="27" t="s">
        <v>258</v>
      </c>
      <c r="AN1" s="27" t="s">
        <v>259</v>
      </c>
      <c r="AO1" s="28" t="s">
        <v>260</v>
      </c>
    </row>
    <row r="2" spans="1:41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</row>
    <row r="3" spans="1:41" x14ac:dyDescent="0.25">
      <c r="C3" s="25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30"/>
    </row>
    <row r="4" spans="1:41" x14ac:dyDescent="0.25">
      <c r="C4" s="25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30"/>
    </row>
    <row r="5" spans="1:41" x14ac:dyDescent="0.25">
      <c r="A5" s="25" t="s">
        <v>261</v>
      </c>
      <c r="B5" s="25" t="s">
        <v>262</v>
      </c>
      <c r="C5" s="25"/>
      <c r="F5" s="29" t="s">
        <v>263</v>
      </c>
      <c r="G5" s="29" t="s">
        <v>264</v>
      </c>
      <c r="H5" s="29" t="s">
        <v>265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30"/>
    </row>
    <row r="6" spans="1:41" x14ac:dyDescent="0.25">
      <c r="A6" s="25" t="s">
        <v>266</v>
      </c>
      <c r="B6" s="25" t="s">
        <v>267</v>
      </c>
      <c r="C6" s="25"/>
      <c r="F6" s="29" t="s">
        <v>268</v>
      </c>
      <c r="G6" s="29" t="s">
        <v>269</v>
      </c>
      <c r="H6" s="29" t="s">
        <v>270</v>
      </c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 t="s">
        <v>271</v>
      </c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30"/>
    </row>
    <row r="7" spans="1:41" x14ac:dyDescent="0.25">
      <c r="A7" s="25" t="s">
        <v>272</v>
      </c>
      <c r="B7" s="25" t="s">
        <v>273</v>
      </c>
      <c r="C7" s="25"/>
      <c r="F7" s="29" t="s">
        <v>274</v>
      </c>
      <c r="G7" s="29" t="s">
        <v>275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>
        <v>0</v>
      </c>
      <c r="W7" s="29"/>
      <c r="X7" s="29"/>
      <c r="Y7" s="29"/>
      <c r="Z7" s="29"/>
      <c r="AA7" s="29"/>
      <c r="AB7" s="29"/>
      <c r="AC7" s="29">
        <v>0</v>
      </c>
      <c r="AD7" s="17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30" t="s">
        <v>276</v>
      </c>
    </row>
    <row r="8" spans="1:41" x14ac:dyDescent="0.25">
      <c r="A8" s="25" t="s">
        <v>277</v>
      </c>
      <c r="B8" s="25" t="s">
        <v>273</v>
      </c>
      <c r="C8" s="25"/>
      <c r="F8" s="29" t="s">
        <v>263</v>
      </c>
      <c r="G8" s="29" t="s">
        <v>278</v>
      </c>
      <c r="H8" s="29"/>
      <c r="I8" s="29"/>
      <c r="J8" s="29"/>
      <c r="K8" s="29"/>
      <c r="L8" s="29"/>
      <c r="M8" s="29"/>
      <c r="N8" s="29" t="s">
        <v>352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>
        <v>0</v>
      </c>
      <c r="AD8" s="17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30"/>
    </row>
    <row r="9" spans="1:41" x14ac:dyDescent="0.25">
      <c r="A9" s="25" t="s">
        <v>280</v>
      </c>
      <c r="B9" s="25" t="s">
        <v>273</v>
      </c>
      <c r="C9" s="25"/>
      <c r="F9" s="29" t="s">
        <v>263</v>
      </c>
      <c r="G9" s="29" t="s">
        <v>281</v>
      </c>
      <c r="H9" s="29"/>
      <c r="I9" s="29"/>
      <c r="J9" s="29"/>
      <c r="K9" s="29"/>
      <c r="L9" s="29" t="s">
        <v>350</v>
      </c>
      <c r="M9" s="29"/>
      <c r="N9" s="29" t="s">
        <v>282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>
        <v>0</v>
      </c>
      <c r="AD9" s="17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30"/>
    </row>
    <row r="10" spans="1:41" x14ac:dyDescent="0.25">
      <c r="A10" s="25" t="s">
        <v>283</v>
      </c>
      <c r="B10" s="25" t="s">
        <v>273</v>
      </c>
      <c r="C10" s="25"/>
      <c r="F10" s="29" t="s">
        <v>274</v>
      </c>
      <c r="G10" s="29" t="s">
        <v>284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17" t="s">
        <v>353</v>
      </c>
      <c r="AE10" s="29"/>
      <c r="AF10" s="29"/>
      <c r="AG10" s="29"/>
      <c r="AH10" s="29" t="s">
        <v>285</v>
      </c>
      <c r="AI10" s="29"/>
      <c r="AJ10" s="29"/>
      <c r="AK10" s="29"/>
      <c r="AL10" s="29"/>
      <c r="AM10" s="29"/>
      <c r="AN10" s="29"/>
      <c r="AO10" s="30"/>
    </row>
    <row r="11" spans="1:41" x14ac:dyDescent="0.25">
      <c r="A11" s="25" t="s">
        <v>286</v>
      </c>
      <c r="B11" s="25" t="s">
        <v>273</v>
      </c>
      <c r="C11" s="25"/>
      <c r="F11" s="29" t="s">
        <v>274</v>
      </c>
      <c r="G11" s="29" t="s">
        <v>281</v>
      </c>
      <c r="H11" s="29"/>
      <c r="I11" s="29"/>
      <c r="J11" s="29"/>
      <c r="K11" s="29"/>
      <c r="L11" s="29"/>
      <c r="M11" s="29"/>
      <c r="N11" s="29" t="s">
        <v>279</v>
      </c>
      <c r="O11" s="29"/>
      <c r="P11" s="29"/>
      <c r="Q11" s="29"/>
      <c r="R11" s="29"/>
      <c r="S11" s="29"/>
      <c r="T11" s="29"/>
      <c r="U11" s="29"/>
      <c r="V11" s="29">
        <v>0</v>
      </c>
      <c r="W11" s="29"/>
      <c r="X11" s="29"/>
      <c r="Y11" s="29"/>
      <c r="Z11" s="29"/>
      <c r="AA11" s="29"/>
      <c r="AB11" s="29"/>
      <c r="AC11" s="29">
        <v>0</v>
      </c>
      <c r="AD11" s="17"/>
      <c r="AE11" s="29"/>
      <c r="AF11" s="29" t="s">
        <v>287</v>
      </c>
      <c r="AG11" s="29"/>
      <c r="AH11" s="29"/>
      <c r="AI11" s="29"/>
      <c r="AJ11" s="29"/>
      <c r="AK11" s="29"/>
      <c r="AL11" s="29"/>
      <c r="AM11" s="29"/>
      <c r="AN11" s="29"/>
      <c r="AO11" s="30"/>
    </row>
    <row r="12" spans="1:41" x14ac:dyDescent="0.25">
      <c r="A12" s="25" t="s">
        <v>288</v>
      </c>
      <c r="B12" s="25" t="s">
        <v>273</v>
      </c>
      <c r="C12" s="25"/>
      <c r="F12" s="29" t="s">
        <v>263</v>
      </c>
      <c r="G12" s="29" t="s">
        <v>289</v>
      </c>
      <c r="H12" s="29"/>
      <c r="I12" s="29"/>
      <c r="J12" s="29"/>
      <c r="K12" s="29"/>
      <c r="L12" s="29"/>
      <c r="M12" s="29"/>
      <c r="N12" s="29" t="s">
        <v>279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>
        <v>0</v>
      </c>
      <c r="AD12" s="17"/>
      <c r="AE12" s="29"/>
      <c r="AF12" s="29" t="s">
        <v>287</v>
      </c>
      <c r="AG12" s="29"/>
      <c r="AH12" s="29"/>
      <c r="AI12" s="29"/>
      <c r="AJ12" s="29"/>
      <c r="AK12" s="29"/>
      <c r="AL12" s="29"/>
      <c r="AM12" s="29"/>
      <c r="AN12" s="29"/>
      <c r="AO12" s="30"/>
    </row>
    <row r="13" spans="1:41" x14ac:dyDescent="0.25">
      <c r="A13" s="25" t="s">
        <v>290</v>
      </c>
      <c r="B13" s="25" t="s">
        <v>291</v>
      </c>
      <c r="C13" s="25"/>
      <c r="F13" s="29" t="s">
        <v>263</v>
      </c>
      <c r="G13" s="29" t="s">
        <v>292</v>
      </c>
      <c r="H13" s="29"/>
      <c r="I13" s="29"/>
      <c r="J13" s="29" t="s">
        <v>293</v>
      </c>
      <c r="K13" s="29" t="s">
        <v>294</v>
      </c>
      <c r="L13" s="29"/>
      <c r="M13" s="29"/>
      <c r="N13" s="29" t="s">
        <v>295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>
        <v>0</v>
      </c>
      <c r="AD13" s="17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30"/>
    </row>
    <row r="14" spans="1:41" x14ac:dyDescent="0.25">
      <c r="A14" s="25" t="s">
        <v>296</v>
      </c>
      <c r="B14" s="25" t="s">
        <v>297</v>
      </c>
      <c r="C14" s="25"/>
      <c r="F14" s="29" t="s">
        <v>298</v>
      </c>
      <c r="G14" s="29" t="s">
        <v>299</v>
      </c>
      <c r="H14" s="29" t="s">
        <v>351</v>
      </c>
      <c r="I14" s="29"/>
      <c r="J14" s="29"/>
      <c r="K14" s="29"/>
      <c r="L14" s="29"/>
      <c r="M14" s="29"/>
      <c r="N14" s="29"/>
      <c r="O14" s="29"/>
      <c r="P14" s="29"/>
      <c r="Q14" s="29" t="s">
        <v>301</v>
      </c>
      <c r="R14" s="29" t="s">
        <v>302</v>
      </c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30"/>
    </row>
    <row r="15" spans="1:41" x14ac:dyDescent="0.25">
      <c r="A15" s="25" t="s">
        <v>303</v>
      </c>
      <c r="B15" s="25" t="s">
        <v>297</v>
      </c>
      <c r="C15" s="25"/>
      <c r="F15" s="29" t="s">
        <v>298</v>
      </c>
      <c r="G15" s="29" t="s">
        <v>299</v>
      </c>
      <c r="H15" s="29" t="s">
        <v>265</v>
      </c>
      <c r="I15" s="29"/>
      <c r="J15" s="29"/>
      <c r="K15" s="29"/>
      <c r="L15" s="29"/>
      <c r="M15" s="29"/>
      <c r="N15" s="29"/>
      <c r="O15" s="29"/>
      <c r="P15" s="29"/>
      <c r="Q15" s="29" t="s">
        <v>301</v>
      </c>
      <c r="R15" s="29" t="s">
        <v>302</v>
      </c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 t="s">
        <v>304</v>
      </c>
      <c r="AO15" s="30"/>
    </row>
    <row r="16" spans="1:41" x14ac:dyDescent="0.25">
      <c r="A16" s="25" t="s">
        <v>305</v>
      </c>
      <c r="B16" s="25" t="s">
        <v>306</v>
      </c>
      <c r="C16" s="25"/>
      <c r="F16" s="29" t="s">
        <v>274</v>
      </c>
      <c r="G16" s="29" t="s">
        <v>307</v>
      </c>
      <c r="H16" s="29" t="s">
        <v>308</v>
      </c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0</v>
      </c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 t="s">
        <v>309</v>
      </c>
      <c r="AM16" s="29"/>
      <c r="AN16" s="29"/>
      <c r="AO16" s="30"/>
    </row>
    <row r="17" spans="1:41" x14ac:dyDescent="0.25">
      <c r="A17" s="25" t="s">
        <v>310</v>
      </c>
      <c r="B17" s="25" t="s">
        <v>306</v>
      </c>
      <c r="C17" s="25"/>
      <c r="F17" s="29" t="s">
        <v>263</v>
      </c>
      <c r="G17" s="29" t="s">
        <v>311</v>
      </c>
      <c r="H17" s="29" t="s">
        <v>308</v>
      </c>
      <c r="I17" s="29"/>
      <c r="J17" s="29" t="s">
        <v>312</v>
      </c>
      <c r="K17" s="29" t="s">
        <v>313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30"/>
    </row>
    <row r="18" spans="1:41" x14ac:dyDescent="0.25">
      <c r="A18" s="25" t="s">
        <v>314</v>
      </c>
      <c r="B18" s="25" t="s">
        <v>315</v>
      </c>
      <c r="C18" s="25"/>
      <c r="F18" s="29"/>
      <c r="G18" s="29" t="s">
        <v>316</v>
      </c>
      <c r="H18" s="29" t="s">
        <v>308</v>
      </c>
      <c r="I18" s="29"/>
      <c r="J18" s="29" t="s">
        <v>317</v>
      </c>
      <c r="K18" s="29" t="s">
        <v>318</v>
      </c>
      <c r="L18" s="29"/>
      <c r="M18" s="29"/>
      <c r="N18" s="29"/>
      <c r="O18" s="29"/>
      <c r="P18" s="29"/>
      <c r="Q18" s="29"/>
      <c r="R18" s="29"/>
      <c r="S18" s="29" t="s">
        <v>319</v>
      </c>
      <c r="T18" s="29" t="s">
        <v>320</v>
      </c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30"/>
    </row>
    <row r="19" spans="1:41" x14ac:dyDescent="0.25">
      <c r="A19" s="25" t="s">
        <v>321</v>
      </c>
      <c r="B19" s="25" t="s">
        <v>315</v>
      </c>
      <c r="C19" s="25"/>
      <c r="F19" s="29"/>
      <c r="G19" s="29" t="s">
        <v>322</v>
      </c>
      <c r="H19" s="29" t="s">
        <v>308</v>
      </c>
      <c r="I19" s="29"/>
      <c r="J19" s="29" t="s">
        <v>317</v>
      </c>
      <c r="K19" s="29" t="s">
        <v>318</v>
      </c>
      <c r="L19" s="29"/>
      <c r="M19" s="29"/>
      <c r="N19" s="29"/>
      <c r="O19" s="29"/>
      <c r="P19" s="29"/>
      <c r="Q19" s="29"/>
      <c r="R19" s="29"/>
      <c r="S19" s="29" t="s">
        <v>323</v>
      </c>
      <c r="T19" s="29" t="s">
        <v>320</v>
      </c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30"/>
    </row>
    <row r="20" spans="1:41" x14ac:dyDescent="0.25">
      <c r="A20" s="25" t="s">
        <v>324</v>
      </c>
      <c r="B20" s="25" t="s">
        <v>315</v>
      </c>
      <c r="C20" s="25"/>
      <c r="F20" s="29" t="s">
        <v>263</v>
      </c>
      <c r="G20" s="29" t="s">
        <v>325</v>
      </c>
      <c r="H20" s="29" t="s">
        <v>308</v>
      </c>
      <c r="I20" s="29"/>
      <c r="J20" s="29" t="s">
        <v>317</v>
      </c>
      <c r="K20" s="29" t="s">
        <v>318</v>
      </c>
      <c r="L20" s="29"/>
      <c r="M20" s="29"/>
      <c r="N20" s="29"/>
      <c r="O20" s="29"/>
      <c r="P20" s="29"/>
      <c r="Q20" s="29"/>
      <c r="R20" s="29"/>
      <c r="S20" s="29" t="s">
        <v>326</v>
      </c>
      <c r="T20" s="29" t="s">
        <v>320</v>
      </c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30"/>
    </row>
    <row r="21" spans="1:41" x14ac:dyDescent="0.25">
      <c r="A21" s="25" t="s">
        <v>327</v>
      </c>
      <c r="B21" s="25" t="s">
        <v>328</v>
      </c>
      <c r="C21" s="25"/>
      <c r="F21" s="29" t="s">
        <v>268</v>
      </c>
      <c r="G21" s="29" t="s">
        <v>329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 t="s">
        <v>326</v>
      </c>
      <c r="T21" s="29" t="s">
        <v>320</v>
      </c>
      <c r="U21" s="29"/>
      <c r="V21" s="29"/>
      <c r="W21" s="29"/>
      <c r="X21" s="29"/>
      <c r="Y21" s="29"/>
      <c r="Z21" s="29" t="s">
        <v>271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30"/>
    </row>
    <row r="22" spans="1:41" x14ac:dyDescent="0.25">
      <c r="A22" s="25" t="s">
        <v>330</v>
      </c>
      <c r="B22" s="25" t="s">
        <v>331</v>
      </c>
      <c r="C22" s="25"/>
      <c r="F22" s="29" t="s">
        <v>268</v>
      </c>
      <c r="G22" s="29" t="s">
        <v>332</v>
      </c>
      <c r="H22" s="29" t="s">
        <v>333</v>
      </c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 t="s">
        <v>326</v>
      </c>
      <c r="T22" s="29" t="s">
        <v>334</v>
      </c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30"/>
    </row>
    <row r="23" spans="1:41" x14ac:dyDescent="0.25">
      <c r="A23" s="25" t="s">
        <v>335</v>
      </c>
      <c r="B23" s="25" t="s">
        <v>336</v>
      </c>
      <c r="C23" s="25"/>
      <c r="F23" s="29" t="s">
        <v>268</v>
      </c>
      <c r="G23" s="29" t="s">
        <v>337</v>
      </c>
      <c r="H23" s="29" t="s">
        <v>338</v>
      </c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30"/>
    </row>
    <row r="24" spans="1:41" x14ac:dyDescent="0.25">
      <c r="A24" s="25" t="s">
        <v>339</v>
      </c>
      <c r="B24" s="25" t="s">
        <v>340</v>
      </c>
      <c r="C24" s="25"/>
      <c r="F24" s="29" t="s">
        <v>298</v>
      </c>
      <c r="G24" s="29" t="s">
        <v>341</v>
      </c>
      <c r="H24" s="29" t="s">
        <v>300</v>
      </c>
      <c r="I24" s="29"/>
      <c r="J24" s="29"/>
      <c r="K24" s="29"/>
      <c r="L24" s="29"/>
      <c r="M24" s="29"/>
      <c r="N24" s="29"/>
      <c r="O24" s="29"/>
      <c r="P24" s="29"/>
      <c r="Q24" s="29" t="s">
        <v>301</v>
      </c>
      <c r="R24" s="29" t="s">
        <v>302</v>
      </c>
      <c r="S24" s="29" t="s">
        <v>326</v>
      </c>
      <c r="T24" s="29" t="s">
        <v>320</v>
      </c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30"/>
    </row>
    <row r="25" spans="1:41" x14ac:dyDescent="0.25">
      <c r="A25" s="25" t="s">
        <v>342</v>
      </c>
      <c r="B25" s="25" t="s">
        <v>343</v>
      </c>
      <c r="C25" s="25"/>
      <c r="F25" s="29" t="s">
        <v>274</v>
      </c>
      <c r="G25" s="29" t="s">
        <v>344</v>
      </c>
      <c r="H25" s="29" t="s">
        <v>308</v>
      </c>
      <c r="I25" s="29"/>
      <c r="J25" s="29" t="s">
        <v>345</v>
      </c>
      <c r="K25" s="29" t="s">
        <v>346</v>
      </c>
      <c r="L25" s="29"/>
      <c r="M25" s="29"/>
      <c r="N25" s="29" t="s">
        <v>282</v>
      </c>
      <c r="O25" s="29"/>
      <c r="P25" s="29"/>
      <c r="Q25" s="29"/>
      <c r="R25" s="29"/>
      <c r="S25" s="29" t="s">
        <v>326</v>
      </c>
      <c r="T25" s="29" t="s">
        <v>347</v>
      </c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 t="s">
        <v>348</v>
      </c>
      <c r="AM25" s="29"/>
      <c r="AN25" s="29"/>
      <c r="AO25" s="30"/>
    </row>
    <row r="26" spans="1:41" x14ac:dyDescent="0.25">
      <c r="C26" s="25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30"/>
    </row>
    <row r="27" spans="1:41" x14ac:dyDescent="0.25">
      <c r="C27" s="25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30"/>
    </row>
    <row r="28" spans="1:41" x14ac:dyDescent="0.25">
      <c r="C28" s="25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30"/>
    </row>
    <row r="29" spans="1:41" x14ac:dyDescent="0.25">
      <c r="C29" s="25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30"/>
    </row>
    <row r="30" spans="1:41" x14ac:dyDescent="0.25">
      <c r="C30" s="25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30"/>
    </row>
    <row r="31" spans="1:41" x14ac:dyDescent="0.25">
      <c r="C31" s="25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30"/>
    </row>
    <row r="32" spans="1:41" x14ac:dyDescent="0.25">
      <c r="C32" s="25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30"/>
    </row>
    <row r="33" spans="3:41" x14ac:dyDescent="0.25">
      <c r="C33" s="25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30"/>
    </row>
    <row r="34" spans="3:41" x14ac:dyDescent="0.25">
      <c r="C34" s="25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30"/>
    </row>
    <row r="35" spans="3:41" x14ac:dyDescent="0.25">
      <c r="C35" s="25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30"/>
    </row>
    <row r="36" spans="3:41" x14ac:dyDescent="0.25">
      <c r="C36" s="25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30"/>
    </row>
    <row r="37" spans="3:41" x14ac:dyDescent="0.25">
      <c r="C37" s="25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30"/>
    </row>
    <row r="38" spans="3:41" x14ac:dyDescent="0.25">
      <c r="C38" s="25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30"/>
    </row>
    <row r="39" spans="3:41" x14ac:dyDescent="0.25">
      <c r="C39" s="25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30"/>
    </row>
    <row r="40" spans="3:41" x14ac:dyDescent="0.25">
      <c r="C40" s="25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30"/>
    </row>
    <row r="41" spans="3:41" x14ac:dyDescent="0.25">
      <c r="C41" s="25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30"/>
    </row>
    <row r="42" spans="3:41" x14ac:dyDescent="0.25">
      <c r="C42" s="25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30"/>
    </row>
    <row r="43" spans="3:41" x14ac:dyDescent="0.25">
      <c r="C43" s="25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30"/>
    </row>
    <row r="44" spans="3:41" x14ac:dyDescent="0.25">
      <c r="C44" s="25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30"/>
    </row>
    <row r="45" spans="3:41" x14ac:dyDescent="0.25">
      <c r="C45" s="25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30"/>
    </row>
    <row r="46" spans="3:41" x14ac:dyDescent="0.25">
      <c r="C46" s="25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30"/>
    </row>
    <row r="47" spans="3:41" x14ac:dyDescent="0.25">
      <c r="C47" s="25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30"/>
    </row>
    <row r="48" spans="3:41" x14ac:dyDescent="0.25">
      <c r="C48" s="25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30"/>
    </row>
    <row r="49" spans="3:41" x14ac:dyDescent="0.25">
      <c r="C49" s="25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30"/>
    </row>
    <row r="50" spans="3:41" x14ac:dyDescent="0.25">
      <c r="C50" s="25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30"/>
    </row>
    <row r="51" spans="3:41" x14ac:dyDescent="0.25">
      <c r="C51" s="25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30"/>
    </row>
    <row r="52" spans="3:41" x14ac:dyDescent="0.25">
      <c r="C52" s="25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30"/>
    </row>
    <row r="53" spans="3:41" x14ac:dyDescent="0.25">
      <c r="C53" s="25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30"/>
    </row>
    <row r="54" spans="3:41" x14ac:dyDescent="0.25">
      <c r="C54" s="25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30"/>
    </row>
    <row r="55" spans="3:41" x14ac:dyDescent="0.25">
      <c r="C55" s="25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30"/>
    </row>
    <row r="56" spans="3:41" x14ac:dyDescent="0.25">
      <c r="C56" s="25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30"/>
    </row>
    <row r="57" spans="3:41" x14ac:dyDescent="0.25">
      <c r="C57" s="25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30"/>
    </row>
    <row r="58" spans="3:41" x14ac:dyDescent="0.25">
      <c r="C58" s="25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30"/>
    </row>
    <row r="59" spans="3:41" x14ac:dyDescent="0.25">
      <c r="C59" s="25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30"/>
    </row>
    <row r="60" spans="3:41" x14ac:dyDescent="0.25">
      <c r="C60" s="25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30"/>
    </row>
    <row r="61" spans="3:41" x14ac:dyDescent="0.25">
      <c r="C61" s="25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30"/>
    </row>
    <row r="62" spans="3:41" x14ac:dyDescent="0.25">
      <c r="C62" s="25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30"/>
    </row>
    <row r="63" spans="3:41" x14ac:dyDescent="0.25">
      <c r="C63" s="25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30"/>
    </row>
    <row r="64" spans="3:41" x14ac:dyDescent="0.25">
      <c r="C64" s="25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30"/>
    </row>
    <row r="65" spans="3:41" x14ac:dyDescent="0.25">
      <c r="C65" s="25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30"/>
    </row>
    <row r="66" spans="3:41" x14ac:dyDescent="0.25">
      <c r="C66" s="25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30"/>
    </row>
    <row r="67" spans="3:41" x14ac:dyDescent="0.25">
      <c r="C67" s="25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30"/>
    </row>
    <row r="68" spans="3:41" x14ac:dyDescent="0.25">
      <c r="C68" s="25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30"/>
    </row>
    <row r="69" spans="3:41" x14ac:dyDescent="0.25">
      <c r="C69" s="25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30"/>
    </row>
    <row r="70" spans="3:41" x14ac:dyDescent="0.25">
      <c r="C70" s="25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30"/>
    </row>
    <row r="71" spans="3:41" x14ac:dyDescent="0.25">
      <c r="C71" s="25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30"/>
    </row>
    <row r="72" spans="3:41" x14ac:dyDescent="0.25">
      <c r="C72" s="25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30"/>
    </row>
    <row r="73" spans="3:41" x14ac:dyDescent="0.25">
      <c r="C73" s="25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30"/>
    </row>
    <row r="74" spans="3:41" x14ac:dyDescent="0.25">
      <c r="C74" s="25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30"/>
    </row>
    <row r="75" spans="3:41" x14ac:dyDescent="0.25">
      <c r="C75" s="25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30"/>
    </row>
    <row r="76" spans="3:41" x14ac:dyDescent="0.25">
      <c r="C76" s="25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30"/>
    </row>
    <row r="77" spans="3:41" x14ac:dyDescent="0.25">
      <c r="C77" s="25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30"/>
    </row>
    <row r="78" spans="3:41" x14ac:dyDescent="0.25">
      <c r="C78" s="25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30"/>
    </row>
    <row r="79" spans="3:41" x14ac:dyDescent="0.25">
      <c r="C79" s="25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30"/>
    </row>
    <row r="80" spans="3:41" x14ac:dyDescent="0.25">
      <c r="C80" s="25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30"/>
    </row>
    <row r="81" spans="3:41" x14ac:dyDescent="0.25">
      <c r="C81" s="25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30"/>
    </row>
    <row r="82" spans="3:41" x14ac:dyDescent="0.25">
      <c r="C82" s="25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30"/>
    </row>
    <row r="83" spans="3:41" x14ac:dyDescent="0.25">
      <c r="C83" s="25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30"/>
    </row>
    <row r="84" spans="3:41" x14ac:dyDescent="0.25">
      <c r="C84" s="25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30"/>
    </row>
    <row r="85" spans="3:41" x14ac:dyDescent="0.25">
      <c r="C85" s="25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30"/>
    </row>
    <row r="86" spans="3:41" x14ac:dyDescent="0.25">
      <c r="C86" s="25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30"/>
    </row>
    <row r="87" spans="3:41" x14ac:dyDescent="0.25">
      <c r="C87" s="25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30"/>
    </row>
    <row r="88" spans="3:41" x14ac:dyDescent="0.25">
      <c r="C88" s="25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30"/>
    </row>
    <row r="89" spans="3:41" x14ac:dyDescent="0.25">
      <c r="C89" s="25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30"/>
    </row>
    <row r="90" spans="3:41" x14ac:dyDescent="0.25">
      <c r="C90" s="25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30"/>
    </row>
    <row r="91" spans="3:41" x14ac:dyDescent="0.25">
      <c r="C91" s="25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30"/>
    </row>
    <row r="92" spans="3:41" x14ac:dyDescent="0.25">
      <c r="C92" s="25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30"/>
    </row>
    <row r="93" spans="3:41" x14ac:dyDescent="0.25">
      <c r="C93" s="25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30"/>
    </row>
    <row r="94" spans="3:41" x14ac:dyDescent="0.25">
      <c r="C94" s="25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30"/>
    </row>
    <row r="95" spans="3:41" x14ac:dyDescent="0.25">
      <c r="C95" s="25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30"/>
    </row>
    <row r="96" spans="3:41" x14ac:dyDescent="0.25">
      <c r="C96" s="25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30"/>
    </row>
    <row r="97" spans="3:41" x14ac:dyDescent="0.25">
      <c r="C97" s="25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30"/>
    </row>
    <row r="98" spans="3:41" x14ac:dyDescent="0.25">
      <c r="C98" s="25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30"/>
    </row>
    <row r="99" spans="3:41" x14ac:dyDescent="0.25">
      <c r="C99" s="25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30"/>
    </row>
    <row r="100" spans="3:41" x14ac:dyDescent="0.25">
      <c r="C100" s="25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30"/>
    </row>
    <row r="101" spans="3:41" x14ac:dyDescent="0.25">
      <c r="C101" s="25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30"/>
    </row>
    <row r="102" spans="3:41" x14ac:dyDescent="0.25">
      <c r="C102" s="25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30"/>
    </row>
    <row r="103" spans="3:41" x14ac:dyDescent="0.25">
      <c r="C103" s="25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30"/>
    </row>
    <row r="104" spans="3:41" x14ac:dyDescent="0.25">
      <c r="C104" s="25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30"/>
    </row>
    <row r="105" spans="3:41" x14ac:dyDescent="0.25">
      <c r="C105" s="25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30"/>
    </row>
    <row r="106" spans="3:41" x14ac:dyDescent="0.25">
      <c r="C106" s="25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30"/>
    </row>
    <row r="107" spans="3:41" x14ac:dyDescent="0.25">
      <c r="C107" s="25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30"/>
    </row>
    <row r="108" spans="3:41" x14ac:dyDescent="0.25">
      <c r="C108" s="25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30"/>
    </row>
    <row r="109" spans="3:41" x14ac:dyDescent="0.25">
      <c r="C109" s="25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30"/>
    </row>
    <row r="110" spans="3:41" x14ac:dyDescent="0.25">
      <c r="C110" s="25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30"/>
    </row>
    <row r="111" spans="3:41" x14ac:dyDescent="0.25">
      <c r="C111" s="25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30"/>
    </row>
    <row r="112" spans="3:41" x14ac:dyDescent="0.25">
      <c r="C112" s="25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30"/>
    </row>
    <row r="113" spans="3:41" x14ac:dyDescent="0.25">
      <c r="C113" s="25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30"/>
    </row>
    <row r="114" spans="3:41" x14ac:dyDescent="0.25">
      <c r="C114" s="25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30"/>
    </row>
    <row r="115" spans="3:41" x14ac:dyDescent="0.25">
      <c r="C115" s="25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30"/>
    </row>
    <row r="116" spans="3:41" x14ac:dyDescent="0.25">
      <c r="C116" s="25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30"/>
    </row>
    <row r="117" spans="3:41" x14ac:dyDescent="0.25">
      <c r="C117" s="25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30"/>
    </row>
    <row r="118" spans="3:41" x14ac:dyDescent="0.25">
      <c r="C118" s="25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30"/>
    </row>
    <row r="119" spans="3:41" x14ac:dyDescent="0.25">
      <c r="C119" s="25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30"/>
    </row>
    <row r="120" spans="3:41" x14ac:dyDescent="0.25">
      <c r="C120" s="25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30"/>
    </row>
    <row r="121" spans="3:41" x14ac:dyDescent="0.25">
      <c r="C121" s="25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30"/>
    </row>
    <row r="122" spans="3:41" x14ac:dyDescent="0.25">
      <c r="C122" s="25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30"/>
    </row>
    <row r="123" spans="3:41" x14ac:dyDescent="0.25">
      <c r="C123" s="25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30"/>
    </row>
    <row r="124" spans="3:41" x14ac:dyDescent="0.25">
      <c r="C124" s="25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30"/>
    </row>
    <row r="125" spans="3:41" x14ac:dyDescent="0.25">
      <c r="C125" s="25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30"/>
    </row>
    <row r="126" spans="3:41" x14ac:dyDescent="0.25">
      <c r="C126" s="25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30"/>
    </row>
    <row r="127" spans="3:41" x14ac:dyDescent="0.25">
      <c r="C127" s="25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30"/>
    </row>
    <row r="128" spans="3:41" x14ac:dyDescent="0.25">
      <c r="C128" s="25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30"/>
    </row>
    <row r="129" spans="3:41" x14ac:dyDescent="0.25">
      <c r="C129" s="25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30"/>
    </row>
    <row r="130" spans="3:41" x14ac:dyDescent="0.25">
      <c r="C130" s="25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30"/>
    </row>
    <row r="131" spans="3:41" x14ac:dyDescent="0.25">
      <c r="C131" s="25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30"/>
    </row>
    <row r="132" spans="3:41" x14ac:dyDescent="0.25">
      <c r="C132" s="25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30"/>
    </row>
    <row r="133" spans="3:41" x14ac:dyDescent="0.25">
      <c r="C133" s="25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30"/>
    </row>
    <row r="134" spans="3:41" x14ac:dyDescent="0.25">
      <c r="C134" s="25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30"/>
    </row>
    <row r="135" spans="3:41" x14ac:dyDescent="0.25">
      <c r="C135" s="25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30"/>
    </row>
    <row r="136" spans="3:41" x14ac:dyDescent="0.25">
      <c r="C136" s="25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30"/>
    </row>
    <row r="137" spans="3:41" x14ac:dyDescent="0.25">
      <c r="C137" s="25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30"/>
    </row>
    <row r="138" spans="3:41" x14ac:dyDescent="0.25">
      <c r="C138" s="25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30"/>
    </row>
    <row r="139" spans="3:41" x14ac:dyDescent="0.25">
      <c r="C139" s="25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30"/>
    </row>
    <row r="140" spans="3:41" x14ac:dyDescent="0.25">
      <c r="C140" s="25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30"/>
    </row>
    <row r="141" spans="3:41" x14ac:dyDescent="0.25">
      <c r="C141" s="25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30"/>
    </row>
    <row r="142" spans="3:41" x14ac:dyDescent="0.25">
      <c r="C142" s="25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30"/>
    </row>
    <row r="143" spans="3:41" x14ac:dyDescent="0.25">
      <c r="C143" s="25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30"/>
    </row>
    <row r="144" spans="3:41" x14ac:dyDescent="0.25">
      <c r="C144" s="25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30"/>
    </row>
    <row r="145" spans="3:41" x14ac:dyDescent="0.25">
      <c r="C145" s="25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30"/>
    </row>
    <row r="146" spans="3:41" x14ac:dyDescent="0.25">
      <c r="C146" s="25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30"/>
    </row>
    <row r="147" spans="3:41" x14ac:dyDescent="0.25">
      <c r="C147" s="25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30"/>
    </row>
    <row r="148" spans="3:41" x14ac:dyDescent="0.25">
      <c r="C148" s="25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30"/>
    </row>
    <row r="149" spans="3:41" x14ac:dyDescent="0.25">
      <c r="C149" s="25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30"/>
    </row>
    <row r="150" spans="3:41" x14ac:dyDescent="0.25">
      <c r="C150" s="25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30"/>
    </row>
    <row r="151" spans="3:41" x14ac:dyDescent="0.25">
      <c r="C151" s="25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30"/>
    </row>
    <row r="152" spans="3:41" x14ac:dyDescent="0.25">
      <c r="C152" s="25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30"/>
    </row>
    <row r="153" spans="3:41" x14ac:dyDescent="0.25">
      <c r="C153" s="25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30"/>
    </row>
    <row r="154" spans="3:41" x14ac:dyDescent="0.25">
      <c r="C154" s="25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30"/>
    </row>
    <row r="155" spans="3:41" x14ac:dyDescent="0.25">
      <c r="C155" s="25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30"/>
    </row>
    <row r="156" spans="3:41" x14ac:dyDescent="0.25">
      <c r="C156" s="25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30"/>
    </row>
    <row r="157" spans="3:41" x14ac:dyDescent="0.25">
      <c r="C157" s="25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30"/>
    </row>
    <row r="158" spans="3:41" x14ac:dyDescent="0.25">
      <c r="C158" s="25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30"/>
    </row>
    <row r="159" spans="3:41" x14ac:dyDescent="0.25">
      <c r="C159" s="25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30"/>
    </row>
    <row r="160" spans="3:41" x14ac:dyDescent="0.25">
      <c r="C160" s="25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30"/>
    </row>
    <row r="161" spans="3:41" x14ac:dyDescent="0.25">
      <c r="C161" s="25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30"/>
    </row>
    <row r="162" spans="3:41" x14ac:dyDescent="0.25">
      <c r="C162" s="25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30"/>
    </row>
    <row r="163" spans="3:41" x14ac:dyDescent="0.25">
      <c r="C163" s="25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30"/>
    </row>
    <row r="164" spans="3:41" x14ac:dyDescent="0.25">
      <c r="C164" s="25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30"/>
    </row>
    <row r="165" spans="3:41" x14ac:dyDescent="0.25">
      <c r="C165" s="25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30"/>
    </row>
    <row r="166" spans="3:41" x14ac:dyDescent="0.25">
      <c r="C166" s="25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30"/>
    </row>
    <row r="167" spans="3:41" x14ac:dyDescent="0.25">
      <c r="C167" s="25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30"/>
    </row>
    <row r="168" spans="3:41" x14ac:dyDescent="0.25">
      <c r="C168" s="25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30"/>
    </row>
    <row r="169" spans="3:41" x14ac:dyDescent="0.25">
      <c r="C169" s="25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30"/>
    </row>
    <row r="170" spans="3:41" x14ac:dyDescent="0.25">
      <c r="C170" s="25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30"/>
    </row>
    <row r="171" spans="3:41" x14ac:dyDescent="0.25">
      <c r="C171" s="25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30"/>
    </row>
    <row r="172" spans="3:41" x14ac:dyDescent="0.25">
      <c r="C172" s="25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30"/>
    </row>
    <row r="173" spans="3:41" x14ac:dyDescent="0.25">
      <c r="C173" s="25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30"/>
    </row>
    <row r="174" spans="3:41" x14ac:dyDescent="0.25">
      <c r="C174" s="25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30"/>
    </row>
    <row r="175" spans="3:41" x14ac:dyDescent="0.25">
      <c r="C175" s="25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30"/>
    </row>
    <row r="176" spans="3:41" x14ac:dyDescent="0.25">
      <c r="C176" s="25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30"/>
    </row>
    <row r="177" spans="3:41" x14ac:dyDescent="0.25">
      <c r="C177" s="25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30"/>
    </row>
    <row r="178" spans="3:41" x14ac:dyDescent="0.25">
      <c r="C178" s="25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30"/>
    </row>
    <row r="179" spans="3:41" x14ac:dyDescent="0.25">
      <c r="C179" s="25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30"/>
    </row>
    <row r="180" spans="3:41" x14ac:dyDescent="0.25">
      <c r="C180" s="25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30"/>
    </row>
    <row r="181" spans="3:41" x14ac:dyDescent="0.25">
      <c r="C181" s="25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30"/>
    </row>
    <row r="182" spans="3:41" x14ac:dyDescent="0.25">
      <c r="C182" s="25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30"/>
    </row>
    <row r="183" spans="3:41" x14ac:dyDescent="0.25">
      <c r="C183" s="25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30"/>
    </row>
    <row r="184" spans="3:41" x14ac:dyDescent="0.25">
      <c r="C184" s="25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30"/>
    </row>
    <row r="185" spans="3:41" x14ac:dyDescent="0.25">
      <c r="C185" s="25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30"/>
    </row>
    <row r="186" spans="3:41" x14ac:dyDescent="0.25">
      <c r="C186" s="25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30"/>
    </row>
    <row r="187" spans="3:41" x14ac:dyDescent="0.25">
      <c r="C187" s="25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30"/>
    </row>
    <row r="188" spans="3:41" x14ac:dyDescent="0.25">
      <c r="C188" s="25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30"/>
    </row>
    <row r="189" spans="3:41" x14ac:dyDescent="0.25">
      <c r="C189" s="25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30"/>
    </row>
    <row r="190" spans="3:41" x14ac:dyDescent="0.25">
      <c r="C190" s="25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30"/>
    </row>
    <row r="191" spans="3:41" x14ac:dyDescent="0.25">
      <c r="C191" s="25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30"/>
    </row>
    <row r="192" spans="3:41" x14ac:dyDescent="0.25">
      <c r="C192" s="25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30"/>
    </row>
    <row r="193" spans="3:41" x14ac:dyDescent="0.25">
      <c r="C193" s="25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30"/>
    </row>
    <row r="194" spans="3:41" x14ac:dyDescent="0.25">
      <c r="C194" s="25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30"/>
    </row>
    <row r="195" spans="3:41" x14ac:dyDescent="0.25">
      <c r="C195" s="25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30"/>
    </row>
    <row r="196" spans="3:41" x14ac:dyDescent="0.25">
      <c r="C196" s="25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30"/>
    </row>
    <row r="197" spans="3:41" x14ac:dyDescent="0.25">
      <c r="C197" s="25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30"/>
    </row>
    <row r="198" spans="3:41" x14ac:dyDescent="0.25">
      <c r="C198" s="25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30"/>
    </row>
    <row r="199" spans="3:41" x14ac:dyDescent="0.25">
      <c r="C199" s="25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30"/>
    </row>
    <row r="200" spans="3:41" x14ac:dyDescent="0.25">
      <c r="C200" s="25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30"/>
    </row>
    <row r="201" spans="3:41" x14ac:dyDescent="0.25">
      <c r="C201" s="25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30"/>
    </row>
    <row r="202" spans="3:41" x14ac:dyDescent="0.25">
      <c r="C202" s="25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30"/>
    </row>
    <row r="203" spans="3:41" x14ac:dyDescent="0.25">
      <c r="C203" s="25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30"/>
    </row>
    <row r="204" spans="3:41" x14ac:dyDescent="0.25">
      <c r="C204" s="25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30"/>
    </row>
    <row r="205" spans="3:41" x14ac:dyDescent="0.25">
      <c r="C205" s="25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30"/>
    </row>
    <row r="206" spans="3:41" x14ac:dyDescent="0.25">
      <c r="C206" s="25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30"/>
    </row>
    <row r="207" spans="3:41" x14ac:dyDescent="0.25">
      <c r="C207" s="25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30"/>
    </row>
    <row r="208" spans="3:41" x14ac:dyDescent="0.25">
      <c r="C208" s="25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30"/>
    </row>
    <row r="209" spans="3:41" x14ac:dyDescent="0.25">
      <c r="C209" s="25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30"/>
    </row>
    <row r="210" spans="3:41" x14ac:dyDescent="0.25">
      <c r="C210" s="25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30"/>
    </row>
    <row r="211" spans="3:41" x14ac:dyDescent="0.25">
      <c r="C211" s="25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30"/>
    </row>
    <row r="212" spans="3:41" x14ac:dyDescent="0.25">
      <c r="C212" s="25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30"/>
    </row>
    <row r="213" spans="3:41" x14ac:dyDescent="0.25">
      <c r="C213" s="25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30"/>
    </row>
    <row r="214" spans="3:41" x14ac:dyDescent="0.25">
      <c r="C214" s="25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30"/>
    </row>
    <row r="215" spans="3:41" x14ac:dyDescent="0.25">
      <c r="C215" s="25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30"/>
    </row>
    <row r="216" spans="3:41" x14ac:dyDescent="0.25">
      <c r="C216" s="25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30"/>
    </row>
    <row r="217" spans="3:41" x14ac:dyDescent="0.25">
      <c r="C217" s="25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30"/>
    </row>
    <row r="218" spans="3:41" x14ac:dyDescent="0.25">
      <c r="C218" s="25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30"/>
    </row>
    <row r="219" spans="3:41" x14ac:dyDescent="0.25">
      <c r="C219" s="25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30"/>
    </row>
    <row r="220" spans="3:41" x14ac:dyDescent="0.25">
      <c r="C220" s="25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30"/>
    </row>
    <row r="221" spans="3:41" x14ac:dyDescent="0.25">
      <c r="C221" s="25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30"/>
    </row>
    <row r="222" spans="3:41" x14ac:dyDescent="0.25">
      <c r="C222" s="25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30"/>
    </row>
    <row r="223" spans="3:41" x14ac:dyDescent="0.25">
      <c r="C223" s="25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30"/>
    </row>
    <row r="224" spans="3:41" x14ac:dyDescent="0.25">
      <c r="C224" s="25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30"/>
    </row>
    <row r="225" spans="3:41" x14ac:dyDescent="0.25">
      <c r="C225" s="25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30"/>
    </row>
    <row r="226" spans="3:41" x14ac:dyDescent="0.25">
      <c r="C226" s="25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30"/>
    </row>
    <row r="227" spans="3:41" x14ac:dyDescent="0.25">
      <c r="C227" s="25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30"/>
    </row>
    <row r="228" spans="3:41" x14ac:dyDescent="0.25">
      <c r="C228" s="25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30"/>
    </row>
    <row r="229" spans="3:41" x14ac:dyDescent="0.25">
      <c r="C229" s="25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30"/>
    </row>
    <row r="230" spans="3:41" x14ac:dyDescent="0.25">
      <c r="C230" s="25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30"/>
    </row>
    <row r="231" spans="3:41" x14ac:dyDescent="0.25">
      <c r="C231" s="25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30"/>
    </row>
    <row r="232" spans="3:41" x14ac:dyDescent="0.25">
      <c r="C232" s="25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30"/>
    </row>
    <row r="233" spans="3:41" x14ac:dyDescent="0.25">
      <c r="C233" s="25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30"/>
    </row>
    <row r="234" spans="3:41" x14ac:dyDescent="0.25">
      <c r="C234" s="25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30"/>
    </row>
    <row r="235" spans="3:41" x14ac:dyDescent="0.25">
      <c r="C235" s="25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30"/>
    </row>
    <row r="236" spans="3:41" x14ac:dyDescent="0.25">
      <c r="C236" s="25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30"/>
    </row>
    <row r="237" spans="3:41" x14ac:dyDescent="0.25">
      <c r="C237" s="25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30"/>
    </row>
    <row r="238" spans="3:41" x14ac:dyDescent="0.25">
      <c r="C238" s="25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30"/>
    </row>
    <row r="239" spans="3:41" x14ac:dyDescent="0.25">
      <c r="C239" s="25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30"/>
    </row>
    <row r="240" spans="3:41" x14ac:dyDescent="0.25">
      <c r="C240" s="25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30"/>
    </row>
    <row r="241" spans="3:41" x14ac:dyDescent="0.25">
      <c r="C241" s="25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30"/>
    </row>
    <row r="242" spans="3:41" x14ac:dyDescent="0.25">
      <c r="C242" s="25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30"/>
    </row>
    <row r="243" spans="3:41" x14ac:dyDescent="0.25">
      <c r="C243" s="25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30"/>
    </row>
    <row r="244" spans="3:41" x14ac:dyDescent="0.25">
      <c r="C244" s="25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30"/>
    </row>
    <row r="245" spans="3:41" x14ac:dyDescent="0.25">
      <c r="C245" s="25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30"/>
    </row>
    <row r="246" spans="3:41" x14ac:dyDescent="0.25">
      <c r="C246" s="25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30"/>
    </row>
    <row r="247" spans="3:41" x14ac:dyDescent="0.25">
      <c r="C247" s="25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30"/>
    </row>
    <row r="248" spans="3:41" x14ac:dyDescent="0.25">
      <c r="C248" s="25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30"/>
    </row>
    <row r="249" spans="3:41" x14ac:dyDescent="0.25">
      <c r="C249" s="25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30"/>
    </row>
    <row r="250" spans="3:41" x14ac:dyDescent="0.25">
      <c r="C250" s="25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30"/>
    </row>
    <row r="251" spans="3:41" x14ac:dyDescent="0.25">
      <c r="C251" s="25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30"/>
    </row>
    <row r="252" spans="3:41" x14ac:dyDescent="0.25">
      <c r="C252" s="25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30"/>
    </row>
    <row r="253" spans="3:41" x14ac:dyDescent="0.25">
      <c r="C253" s="25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30"/>
    </row>
    <row r="254" spans="3:41" x14ac:dyDescent="0.25">
      <c r="C254" s="25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30"/>
    </row>
    <row r="255" spans="3:41" x14ac:dyDescent="0.25">
      <c r="C255" s="25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30"/>
    </row>
    <row r="256" spans="3:41" x14ac:dyDescent="0.25">
      <c r="C256" s="25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30"/>
    </row>
    <row r="257" spans="3:41" x14ac:dyDescent="0.25">
      <c r="C257" s="25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30"/>
    </row>
    <row r="258" spans="3:41" x14ac:dyDescent="0.25">
      <c r="C258" s="25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30"/>
    </row>
    <row r="259" spans="3:41" x14ac:dyDescent="0.25">
      <c r="C259" s="25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30"/>
    </row>
    <row r="260" spans="3:41" x14ac:dyDescent="0.25">
      <c r="C260" s="25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30"/>
    </row>
    <row r="261" spans="3:41" x14ac:dyDescent="0.25">
      <c r="C261" s="25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30"/>
    </row>
    <row r="262" spans="3:41" x14ac:dyDescent="0.25">
      <c r="C262" s="25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30"/>
    </row>
    <row r="263" spans="3:41" x14ac:dyDescent="0.25">
      <c r="C263" s="25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30"/>
    </row>
    <row r="264" spans="3:41" x14ac:dyDescent="0.25">
      <c r="C264" s="25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30"/>
    </row>
    <row r="265" spans="3:41" x14ac:dyDescent="0.25">
      <c r="C265" s="25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30"/>
    </row>
    <row r="266" spans="3:41" x14ac:dyDescent="0.25">
      <c r="C266" s="25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30"/>
    </row>
    <row r="267" spans="3:41" x14ac:dyDescent="0.25">
      <c r="C267" s="25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30"/>
    </row>
    <row r="268" spans="3:41" x14ac:dyDescent="0.25">
      <c r="C268" s="25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30"/>
    </row>
    <row r="269" spans="3:41" x14ac:dyDescent="0.25">
      <c r="C269" s="25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30"/>
    </row>
    <row r="270" spans="3:41" x14ac:dyDescent="0.25">
      <c r="C270" s="25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30"/>
    </row>
    <row r="271" spans="3:41" x14ac:dyDescent="0.25">
      <c r="C271" s="25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30"/>
    </row>
    <row r="272" spans="3:41" x14ac:dyDescent="0.25">
      <c r="C272" s="25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30"/>
    </row>
    <row r="273" spans="3:41" x14ac:dyDescent="0.25">
      <c r="C273" s="25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30"/>
    </row>
    <row r="274" spans="3:41" x14ac:dyDescent="0.25">
      <c r="C274" s="25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30"/>
    </row>
    <row r="275" spans="3:41" x14ac:dyDescent="0.25">
      <c r="C275" s="25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30"/>
    </row>
    <row r="276" spans="3:41" x14ac:dyDescent="0.25">
      <c r="C276" s="25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30"/>
    </row>
    <row r="277" spans="3:41" x14ac:dyDescent="0.25">
      <c r="C277" s="25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30"/>
    </row>
    <row r="278" spans="3:41" x14ac:dyDescent="0.25">
      <c r="C278" s="25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30"/>
    </row>
    <row r="279" spans="3:41" x14ac:dyDescent="0.25">
      <c r="C279" s="25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30"/>
    </row>
    <row r="280" spans="3:41" x14ac:dyDescent="0.25">
      <c r="C280" s="25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30"/>
    </row>
    <row r="281" spans="3:41" x14ac:dyDescent="0.25">
      <c r="C281" s="25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30"/>
    </row>
    <row r="282" spans="3:41" x14ac:dyDescent="0.25">
      <c r="C282" s="25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30"/>
    </row>
    <row r="283" spans="3:41" x14ac:dyDescent="0.25">
      <c r="C283" s="25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30"/>
    </row>
    <row r="284" spans="3:41" x14ac:dyDescent="0.25">
      <c r="C284" s="25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30"/>
    </row>
    <row r="285" spans="3:41" x14ac:dyDescent="0.25">
      <c r="C285" s="25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30"/>
    </row>
    <row r="286" spans="3:41" x14ac:dyDescent="0.25">
      <c r="C286" s="25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30"/>
    </row>
    <row r="287" spans="3:41" x14ac:dyDescent="0.25">
      <c r="C287" s="25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30"/>
    </row>
    <row r="288" spans="3:41" x14ac:dyDescent="0.25">
      <c r="C288" s="25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30"/>
    </row>
    <row r="289" spans="3:41" x14ac:dyDescent="0.25">
      <c r="C289" s="25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30"/>
    </row>
    <row r="290" spans="3:41" x14ac:dyDescent="0.25">
      <c r="C290" s="25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30"/>
    </row>
    <row r="291" spans="3:41" x14ac:dyDescent="0.25">
      <c r="C291" s="25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30"/>
    </row>
    <row r="292" spans="3:41" x14ac:dyDescent="0.25">
      <c r="C292" s="25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30"/>
    </row>
    <row r="293" spans="3:41" x14ac:dyDescent="0.25">
      <c r="C293" s="25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30"/>
    </row>
    <row r="294" spans="3:41" x14ac:dyDescent="0.25">
      <c r="C294" s="25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30"/>
    </row>
    <row r="295" spans="3:41" x14ac:dyDescent="0.25">
      <c r="C295" s="25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30"/>
    </row>
    <row r="296" spans="3:41" x14ac:dyDescent="0.25">
      <c r="C296" s="25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30"/>
    </row>
    <row r="297" spans="3:41" x14ac:dyDescent="0.25">
      <c r="C297" s="25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30"/>
    </row>
    <row r="298" spans="3:41" x14ac:dyDescent="0.25">
      <c r="C298" s="25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30"/>
    </row>
    <row r="299" spans="3:41" x14ac:dyDescent="0.25">
      <c r="C299" s="25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30"/>
    </row>
    <row r="300" spans="3:41" x14ac:dyDescent="0.25">
      <c r="C300" s="25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30"/>
    </row>
    <row r="301" spans="3:41" x14ac:dyDescent="0.25">
      <c r="C301" s="25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30"/>
    </row>
    <row r="302" spans="3:41" x14ac:dyDescent="0.25">
      <c r="C302" s="25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30"/>
    </row>
    <row r="303" spans="3:41" x14ac:dyDescent="0.25">
      <c r="C303" s="25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30"/>
    </row>
    <row r="304" spans="3:41" x14ac:dyDescent="0.25">
      <c r="C304" s="25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30"/>
    </row>
    <row r="305" spans="3:41" x14ac:dyDescent="0.25">
      <c r="C305" s="25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30"/>
    </row>
    <row r="306" spans="3:41" x14ac:dyDescent="0.25">
      <c r="C306" s="25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30"/>
    </row>
    <row r="307" spans="3:41" x14ac:dyDescent="0.25">
      <c r="C307" s="25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30"/>
    </row>
    <row r="308" spans="3:41" x14ac:dyDescent="0.25">
      <c r="C308" s="25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30"/>
    </row>
    <row r="309" spans="3:41" x14ac:dyDescent="0.25">
      <c r="C309" s="25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30"/>
    </row>
    <row r="310" spans="3:41" x14ac:dyDescent="0.25">
      <c r="C310" s="25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30"/>
    </row>
    <row r="311" spans="3:41" x14ac:dyDescent="0.25">
      <c r="C311" s="25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30"/>
    </row>
    <row r="312" spans="3:41" x14ac:dyDescent="0.25">
      <c r="C312" s="25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30"/>
    </row>
    <row r="313" spans="3:41" x14ac:dyDescent="0.25">
      <c r="C313" s="25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30"/>
    </row>
    <row r="314" spans="3:41" x14ac:dyDescent="0.25">
      <c r="C314" s="25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30"/>
    </row>
    <row r="315" spans="3:41" x14ac:dyDescent="0.25">
      <c r="C315" s="25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30"/>
    </row>
    <row r="316" spans="3:41" x14ac:dyDescent="0.25">
      <c r="C316" s="25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30"/>
    </row>
    <row r="317" spans="3:41" x14ac:dyDescent="0.25">
      <c r="C317" s="25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30"/>
    </row>
    <row r="318" spans="3:41" x14ac:dyDescent="0.25">
      <c r="C318" s="25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30"/>
    </row>
    <row r="319" spans="3:41" x14ac:dyDescent="0.25">
      <c r="C319" s="25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30"/>
    </row>
    <row r="320" spans="3:41" x14ac:dyDescent="0.25">
      <c r="C320" s="25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30"/>
    </row>
    <row r="321" spans="3:41" x14ac:dyDescent="0.25">
      <c r="C321" s="25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30"/>
    </row>
    <row r="322" spans="3:41" x14ac:dyDescent="0.25">
      <c r="C322" s="25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30"/>
    </row>
    <row r="323" spans="3:41" x14ac:dyDescent="0.25">
      <c r="C323" s="25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30"/>
    </row>
    <row r="324" spans="3:41" x14ac:dyDescent="0.25">
      <c r="C324" s="25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30"/>
    </row>
    <row r="325" spans="3:41" x14ac:dyDescent="0.25">
      <c r="C325" s="25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30"/>
    </row>
    <row r="326" spans="3:41" x14ac:dyDescent="0.25">
      <c r="C326" s="25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30"/>
    </row>
    <row r="327" spans="3:41" x14ac:dyDescent="0.25">
      <c r="C327" s="25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30"/>
    </row>
    <row r="328" spans="3:41" x14ac:dyDescent="0.25">
      <c r="C328" s="25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30"/>
    </row>
    <row r="329" spans="3:41" x14ac:dyDescent="0.25">
      <c r="C329" s="25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30"/>
    </row>
    <row r="330" spans="3:41" x14ac:dyDescent="0.25">
      <c r="C330" s="25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30"/>
    </row>
    <row r="331" spans="3:41" x14ac:dyDescent="0.25">
      <c r="C331" s="25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30"/>
    </row>
    <row r="332" spans="3:41" x14ac:dyDescent="0.25">
      <c r="C332" s="25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30"/>
    </row>
    <row r="333" spans="3:41" x14ac:dyDescent="0.25">
      <c r="C333" s="25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30"/>
    </row>
    <row r="334" spans="3:41" x14ac:dyDescent="0.25">
      <c r="C334" s="25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30"/>
    </row>
    <row r="335" spans="3:41" x14ac:dyDescent="0.25">
      <c r="C335" s="25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30"/>
    </row>
    <row r="336" spans="3:41" x14ac:dyDescent="0.25">
      <c r="C336" s="25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30"/>
    </row>
    <row r="337" spans="3:41" x14ac:dyDescent="0.25">
      <c r="C337" s="25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30"/>
    </row>
    <row r="338" spans="3:41" x14ac:dyDescent="0.25">
      <c r="C338" s="25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30"/>
    </row>
    <row r="339" spans="3:41" x14ac:dyDescent="0.25">
      <c r="C339" s="25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30"/>
    </row>
    <row r="340" spans="3:41" x14ac:dyDescent="0.25">
      <c r="C340" s="25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30"/>
    </row>
    <row r="341" spans="3:41" x14ac:dyDescent="0.25">
      <c r="C341" s="25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30"/>
    </row>
    <row r="342" spans="3:41" x14ac:dyDescent="0.25">
      <c r="C342" s="25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30"/>
    </row>
    <row r="343" spans="3:41" x14ac:dyDescent="0.25">
      <c r="C343" s="25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30"/>
    </row>
    <row r="344" spans="3:41" x14ac:dyDescent="0.25">
      <c r="C344" s="25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30"/>
    </row>
    <row r="345" spans="3:41" x14ac:dyDescent="0.25">
      <c r="C345" s="25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30"/>
    </row>
    <row r="346" spans="3:41" x14ac:dyDescent="0.25">
      <c r="C346" s="25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30"/>
    </row>
    <row r="347" spans="3:41" x14ac:dyDescent="0.25">
      <c r="C347" s="25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30"/>
    </row>
    <row r="348" spans="3:41" x14ac:dyDescent="0.25">
      <c r="C348" s="25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30"/>
    </row>
    <row r="349" spans="3:41" x14ac:dyDescent="0.25">
      <c r="C349" s="25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30"/>
    </row>
    <row r="350" spans="3:41" x14ac:dyDescent="0.25">
      <c r="C350" s="25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30"/>
    </row>
    <row r="351" spans="3:41" x14ac:dyDescent="0.25">
      <c r="C351" s="25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30"/>
    </row>
    <row r="352" spans="3:41" x14ac:dyDescent="0.25">
      <c r="C352" s="25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30"/>
    </row>
    <row r="353" spans="3:41" x14ac:dyDescent="0.25">
      <c r="C353" s="25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30"/>
    </row>
    <row r="354" spans="3:41" x14ac:dyDescent="0.25">
      <c r="C354" s="25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30"/>
    </row>
    <row r="355" spans="3:41" x14ac:dyDescent="0.25">
      <c r="C355" s="25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30"/>
    </row>
    <row r="356" spans="3:41" x14ac:dyDescent="0.25">
      <c r="C356" s="25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30"/>
    </row>
    <row r="357" spans="3:41" x14ac:dyDescent="0.25">
      <c r="C357" s="25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30"/>
    </row>
    <row r="358" spans="3:41" x14ac:dyDescent="0.25">
      <c r="C358" s="25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30"/>
    </row>
    <row r="359" spans="3:41" x14ac:dyDescent="0.25">
      <c r="C359" s="25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30"/>
    </row>
    <row r="360" spans="3:41" x14ac:dyDescent="0.25">
      <c r="C360" s="25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30"/>
    </row>
    <row r="361" spans="3:41" x14ac:dyDescent="0.25">
      <c r="C361" s="25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30"/>
    </row>
    <row r="362" spans="3:41" x14ac:dyDescent="0.25">
      <c r="C362" s="25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30"/>
    </row>
    <row r="363" spans="3:41" x14ac:dyDescent="0.25">
      <c r="C363" s="25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30"/>
    </row>
    <row r="364" spans="3:41" x14ac:dyDescent="0.25">
      <c r="C364" s="25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30"/>
    </row>
    <row r="365" spans="3:41" x14ac:dyDescent="0.25">
      <c r="C365" s="25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30"/>
    </row>
    <row r="366" spans="3:41" x14ac:dyDescent="0.25">
      <c r="C366" s="25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30"/>
    </row>
    <row r="367" spans="3:41" x14ac:dyDescent="0.25">
      <c r="C367" s="25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30"/>
    </row>
    <row r="368" spans="3:41" x14ac:dyDescent="0.25">
      <c r="C368" s="25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30"/>
    </row>
    <row r="369" spans="3:41" x14ac:dyDescent="0.25">
      <c r="C369" s="25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30"/>
    </row>
    <row r="370" spans="3:41" x14ac:dyDescent="0.25">
      <c r="C370" s="25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30"/>
    </row>
    <row r="371" spans="3:41" x14ac:dyDescent="0.25">
      <c r="C371" s="25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30"/>
    </row>
    <row r="372" spans="3:41" x14ac:dyDescent="0.25">
      <c r="C372" s="25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30"/>
    </row>
    <row r="373" spans="3:41" x14ac:dyDescent="0.25">
      <c r="C373" s="25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30"/>
    </row>
    <row r="374" spans="3:41" x14ac:dyDescent="0.25">
      <c r="C374" s="25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30"/>
    </row>
    <row r="375" spans="3:41" x14ac:dyDescent="0.25">
      <c r="C375" s="25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30"/>
    </row>
    <row r="376" spans="3:41" x14ac:dyDescent="0.25">
      <c r="C376" s="25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30"/>
    </row>
    <row r="377" spans="3:41" x14ac:dyDescent="0.25">
      <c r="C377" s="25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30"/>
    </row>
    <row r="378" spans="3:41" x14ac:dyDescent="0.25">
      <c r="C378" s="25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30"/>
    </row>
    <row r="379" spans="3:41" x14ac:dyDescent="0.25">
      <c r="C379" s="25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30"/>
    </row>
    <row r="380" spans="3:41" x14ac:dyDescent="0.25">
      <c r="C380" s="25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30"/>
    </row>
    <row r="381" spans="3:41" x14ac:dyDescent="0.25">
      <c r="C381" s="25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30"/>
    </row>
    <row r="382" spans="3:41" x14ac:dyDescent="0.25">
      <c r="C382" s="25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30"/>
    </row>
    <row r="383" spans="3:41" x14ac:dyDescent="0.25">
      <c r="C383" s="25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30"/>
    </row>
    <row r="384" spans="3:41" x14ac:dyDescent="0.25">
      <c r="C384" s="25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30"/>
    </row>
    <row r="385" spans="3:41" x14ac:dyDescent="0.25">
      <c r="C385" s="25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30"/>
    </row>
    <row r="386" spans="3:41" x14ac:dyDescent="0.25">
      <c r="C386" s="25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30"/>
    </row>
    <row r="387" spans="3:41" x14ac:dyDescent="0.25">
      <c r="C387" s="25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30"/>
    </row>
    <row r="388" spans="3:41" x14ac:dyDescent="0.25">
      <c r="C388" s="25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30"/>
    </row>
    <row r="389" spans="3:41" x14ac:dyDescent="0.25">
      <c r="C389" s="25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30"/>
    </row>
    <row r="390" spans="3:41" x14ac:dyDescent="0.25">
      <c r="C390" s="25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30"/>
    </row>
    <row r="391" spans="3:41" x14ac:dyDescent="0.25">
      <c r="C391" s="25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30"/>
    </row>
    <row r="392" spans="3:41" x14ac:dyDescent="0.25">
      <c r="C392" s="25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30"/>
    </row>
    <row r="393" spans="3:41" x14ac:dyDescent="0.25">
      <c r="C393" s="25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30"/>
    </row>
    <row r="394" spans="3:41" x14ac:dyDescent="0.25">
      <c r="C394" s="25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30"/>
    </row>
    <row r="395" spans="3:41" x14ac:dyDescent="0.25">
      <c r="C395" s="25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30"/>
    </row>
    <row r="396" spans="3:41" x14ac:dyDescent="0.25">
      <c r="C396" s="25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30"/>
    </row>
    <row r="397" spans="3:41" x14ac:dyDescent="0.25">
      <c r="C397" s="25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30"/>
    </row>
    <row r="398" spans="3:41" x14ac:dyDescent="0.25">
      <c r="C398" s="25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30"/>
    </row>
    <row r="399" spans="3:41" x14ac:dyDescent="0.25">
      <c r="C399" s="25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30"/>
    </row>
    <row r="400" spans="3:41" x14ac:dyDescent="0.25">
      <c r="C400" s="25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30"/>
    </row>
    <row r="401" spans="3:41" x14ac:dyDescent="0.25">
      <c r="C401" s="25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30"/>
    </row>
    <row r="402" spans="3:41" x14ac:dyDescent="0.25">
      <c r="C402" s="25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30"/>
    </row>
    <row r="403" spans="3:41" x14ac:dyDescent="0.25">
      <c r="C403" s="25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30"/>
    </row>
    <row r="404" spans="3:41" x14ac:dyDescent="0.25">
      <c r="C404" s="25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30"/>
    </row>
    <row r="405" spans="3:41" x14ac:dyDescent="0.25">
      <c r="C405" s="25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30"/>
    </row>
    <row r="406" spans="3:41" x14ac:dyDescent="0.25">
      <c r="C406" s="25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30"/>
    </row>
    <row r="407" spans="3:41" x14ac:dyDescent="0.25">
      <c r="C407" s="25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30"/>
    </row>
    <row r="408" spans="3:41" x14ac:dyDescent="0.25">
      <c r="C408" s="25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30"/>
    </row>
    <row r="409" spans="3:41" x14ac:dyDescent="0.25">
      <c r="C409" s="25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30"/>
    </row>
    <row r="410" spans="3:41" x14ac:dyDescent="0.25">
      <c r="C410" s="25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30"/>
    </row>
    <row r="411" spans="3:41" x14ac:dyDescent="0.25">
      <c r="C411" s="25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30"/>
    </row>
    <row r="412" spans="3:41" x14ac:dyDescent="0.25">
      <c r="C412" s="25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30"/>
    </row>
    <row r="413" spans="3:41" x14ac:dyDescent="0.25">
      <c r="C413" s="25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30"/>
    </row>
    <row r="414" spans="3:41" x14ac:dyDescent="0.25">
      <c r="C414" s="25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30"/>
    </row>
    <row r="415" spans="3:41" x14ac:dyDescent="0.25">
      <c r="C415" s="25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30"/>
    </row>
    <row r="416" spans="3:41" x14ac:dyDescent="0.25">
      <c r="C416" s="25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30"/>
    </row>
    <row r="417" spans="3:41" x14ac:dyDescent="0.25">
      <c r="C417" s="25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30"/>
    </row>
    <row r="418" spans="3:41" x14ac:dyDescent="0.25">
      <c r="C418" s="25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30"/>
    </row>
    <row r="419" spans="3:41" x14ac:dyDescent="0.25">
      <c r="C419" s="25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30"/>
    </row>
    <row r="420" spans="3:41" x14ac:dyDescent="0.25">
      <c r="C420" s="25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30"/>
    </row>
    <row r="421" spans="3:41" x14ac:dyDescent="0.25">
      <c r="C421" s="25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30"/>
    </row>
    <row r="422" spans="3:41" x14ac:dyDescent="0.25">
      <c r="C422" s="25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30"/>
    </row>
    <row r="423" spans="3:41" x14ac:dyDescent="0.25">
      <c r="C423" s="25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30"/>
    </row>
    <row r="424" spans="3:41" x14ac:dyDescent="0.25">
      <c r="C424" s="25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30"/>
    </row>
    <row r="425" spans="3:41" x14ac:dyDescent="0.25">
      <c r="C425" s="25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30"/>
    </row>
    <row r="426" spans="3:41" x14ac:dyDescent="0.25">
      <c r="C426" s="25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30"/>
    </row>
    <row r="427" spans="3:41" x14ac:dyDescent="0.25">
      <c r="C427" s="25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30"/>
    </row>
    <row r="428" spans="3:41" x14ac:dyDescent="0.25">
      <c r="C428" s="25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30"/>
    </row>
    <row r="429" spans="3:41" x14ac:dyDescent="0.25">
      <c r="C429" s="25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30"/>
    </row>
    <row r="430" spans="3:41" x14ac:dyDescent="0.25">
      <c r="C430" s="25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30"/>
    </row>
    <row r="431" spans="3:41" x14ac:dyDescent="0.25">
      <c r="C431" s="25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30"/>
    </row>
    <row r="432" spans="3:41" x14ac:dyDescent="0.25">
      <c r="C432" s="25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30"/>
    </row>
    <row r="433" spans="3:41" x14ac:dyDescent="0.25">
      <c r="C433" s="25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30"/>
    </row>
    <row r="434" spans="3:41" x14ac:dyDescent="0.25">
      <c r="C434" s="25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30"/>
    </row>
    <row r="435" spans="3:41" x14ac:dyDescent="0.25">
      <c r="C435" s="25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30"/>
    </row>
    <row r="436" spans="3:41" x14ac:dyDescent="0.25">
      <c r="C436" s="25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30"/>
    </row>
    <row r="437" spans="3:41" x14ac:dyDescent="0.25">
      <c r="C437" s="25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30"/>
    </row>
    <row r="438" spans="3:41" x14ac:dyDescent="0.25">
      <c r="C438" s="25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30"/>
    </row>
    <row r="439" spans="3:41" x14ac:dyDescent="0.25">
      <c r="C439" s="25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30"/>
    </row>
    <row r="440" spans="3:41" x14ac:dyDescent="0.25">
      <c r="C440" s="25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30"/>
    </row>
    <row r="441" spans="3:41" x14ac:dyDescent="0.25">
      <c r="C441" s="25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30"/>
    </row>
    <row r="442" spans="3:41" x14ac:dyDescent="0.25">
      <c r="C442" s="25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30"/>
    </row>
    <row r="443" spans="3:41" x14ac:dyDescent="0.25">
      <c r="C443" s="25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30"/>
    </row>
    <row r="444" spans="3:41" x14ac:dyDescent="0.25">
      <c r="C444" s="25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30"/>
    </row>
    <row r="445" spans="3:41" x14ac:dyDescent="0.25">
      <c r="C445" s="25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30"/>
    </row>
    <row r="446" spans="3:41" x14ac:dyDescent="0.25">
      <c r="C446" s="25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30"/>
    </row>
    <row r="447" spans="3:41" x14ac:dyDescent="0.25">
      <c r="C447" s="25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30"/>
    </row>
    <row r="448" spans="3:41" x14ac:dyDescent="0.25">
      <c r="C448" s="25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30"/>
    </row>
    <row r="449" spans="3:41" x14ac:dyDescent="0.25">
      <c r="C449" s="25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30"/>
    </row>
    <row r="450" spans="3:41" x14ac:dyDescent="0.25">
      <c r="C450" s="25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30"/>
    </row>
    <row r="451" spans="3:41" x14ac:dyDescent="0.25">
      <c r="C451" s="25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30"/>
    </row>
    <row r="452" spans="3:41" x14ac:dyDescent="0.25">
      <c r="C452" s="25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30"/>
    </row>
    <row r="453" spans="3:41" x14ac:dyDescent="0.25">
      <c r="C453" s="25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30"/>
    </row>
    <row r="454" spans="3:41" x14ac:dyDescent="0.25">
      <c r="C454" s="25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30"/>
    </row>
    <row r="455" spans="3:41" x14ac:dyDescent="0.25">
      <c r="C455" s="25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30"/>
    </row>
    <row r="456" spans="3:41" x14ac:dyDescent="0.25">
      <c r="C456" s="25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30"/>
    </row>
    <row r="457" spans="3:41" x14ac:dyDescent="0.25">
      <c r="C457" s="25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30"/>
    </row>
    <row r="458" spans="3:41" x14ac:dyDescent="0.25">
      <c r="C458" s="25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30"/>
    </row>
    <row r="459" spans="3:41" x14ac:dyDescent="0.25">
      <c r="C459" s="25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30"/>
    </row>
    <row r="460" spans="3:41" x14ac:dyDescent="0.25">
      <c r="C460" s="25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30"/>
    </row>
    <row r="461" spans="3:41" x14ac:dyDescent="0.25">
      <c r="C461" s="25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30"/>
    </row>
    <row r="462" spans="3:41" x14ac:dyDescent="0.25">
      <c r="C462" s="25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30"/>
    </row>
    <row r="463" spans="3:41" x14ac:dyDescent="0.25">
      <c r="C463" s="25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30"/>
    </row>
    <row r="464" spans="3:41" x14ac:dyDescent="0.25">
      <c r="C464" s="25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30"/>
    </row>
    <row r="465" spans="3:41" x14ac:dyDescent="0.25">
      <c r="C465" s="25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30"/>
    </row>
    <row r="466" spans="3:41" x14ac:dyDescent="0.25">
      <c r="C466" s="25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30"/>
    </row>
    <row r="467" spans="3:41" x14ac:dyDescent="0.25">
      <c r="C467" s="25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30"/>
    </row>
    <row r="468" spans="3:41" x14ac:dyDescent="0.25">
      <c r="C468" s="25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30"/>
    </row>
    <row r="469" spans="3:41" x14ac:dyDescent="0.25">
      <c r="C469" s="25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30"/>
    </row>
    <row r="470" spans="3:41" x14ac:dyDescent="0.25">
      <c r="C470" s="25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30"/>
    </row>
    <row r="471" spans="3:41" x14ac:dyDescent="0.25">
      <c r="C471" s="25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30"/>
    </row>
    <row r="472" spans="3:41" x14ac:dyDescent="0.25">
      <c r="C472" s="25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30"/>
    </row>
    <row r="473" spans="3:41" x14ac:dyDescent="0.25">
      <c r="C473" s="25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30"/>
    </row>
    <row r="474" spans="3:41" x14ac:dyDescent="0.25">
      <c r="C474" s="25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30"/>
    </row>
    <row r="475" spans="3:41" x14ac:dyDescent="0.25">
      <c r="C475" s="25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30"/>
    </row>
    <row r="476" spans="3:41" x14ac:dyDescent="0.25">
      <c r="C476" s="25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30"/>
    </row>
    <row r="477" spans="3:41" x14ac:dyDescent="0.25">
      <c r="C477" s="25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30"/>
    </row>
    <row r="478" spans="3:41" x14ac:dyDescent="0.25">
      <c r="C478" s="25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30"/>
    </row>
    <row r="479" spans="3:41" x14ac:dyDescent="0.25">
      <c r="C479" s="25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30"/>
    </row>
    <row r="480" spans="3:41" x14ac:dyDescent="0.25">
      <c r="C480" s="25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30"/>
    </row>
    <row r="481" spans="3:41" x14ac:dyDescent="0.25">
      <c r="C481" s="25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30"/>
    </row>
    <row r="482" spans="3:41" x14ac:dyDescent="0.25">
      <c r="C482" s="25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30"/>
    </row>
    <row r="483" spans="3:41" x14ac:dyDescent="0.25">
      <c r="C483" s="25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30"/>
    </row>
    <row r="484" spans="3:41" x14ac:dyDescent="0.25">
      <c r="C484" s="25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30"/>
    </row>
    <row r="485" spans="3:41" x14ac:dyDescent="0.25">
      <c r="C485" s="25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30"/>
    </row>
    <row r="486" spans="3:41" x14ac:dyDescent="0.25">
      <c r="C486" s="25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30"/>
    </row>
    <row r="487" spans="3:41" x14ac:dyDescent="0.25">
      <c r="C487" s="25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30"/>
    </row>
    <row r="488" spans="3:41" x14ac:dyDescent="0.25">
      <c r="C488" s="25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30"/>
    </row>
    <row r="489" spans="3:41" x14ac:dyDescent="0.25">
      <c r="C489" s="25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30"/>
    </row>
    <row r="490" spans="3:41" x14ac:dyDescent="0.25">
      <c r="C490" s="25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30"/>
    </row>
    <row r="491" spans="3:41" x14ac:dyDescent="0.25">
      <c r="C491" s="25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30"/>
    </row>
    <row r="492" spans="3:41" x14ac:dyDescent="0.25">
      <c r="C492" s="25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30"/>
    </row>
    <row r="493" spans="3:41" x14ac:dyDescent="0.25">
      <c r="C493" s="25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30"/>
    </row>
    <row r="494" spans="3:41" x14ac:dyDescent="0.25">
      <c r="C494" s="25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30"/>
    </row>
    <row r="495" spans="3:41" x14ac:dyDescent="0.25">
      <c r="C495" s="25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30"/>
    </row>
    <row r="496" spans="3:41" x14ac:dyDescent="0.25">
      <c r="C496" s="25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30"/>
    </row>
    <row r="497" spans="3:41" x14ac:dyDescent="0.25">
      <c r="C497" s="25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30"/>
    </row>
    <row r="498" spans="3:41" x14ac:dyDescent="0.25">
      <c r="C498" s="25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30"/>
    </row>
    <row r="499" spans="3:41" x14ac:dyDescent="0.25">
      <c r="C499" s="25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30"/>
    </row>
    <row r="500" spans="3:41" x14ac:dyDescent="0.25">
      <c r="C500" s="25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30"/>
    </row>
    <row r="501" spans="3:41" x14ac:dyDescent="0.25">
      <c r="C501" s="25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30"/>
    </row>
    <row r="502" spans="3:41" x14ac:dyDescent="0.25">
      <c r="C502" s="25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30"/>
    </row>
    <row r="503" spans="3:41" x14ac:dyDescent="0.25">
      <c r="C503" s="25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30"/>
    </row>
    <row r="504" spans="3:41" x14ac:dyDescent="0.25">
      <c r="C504" s="25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30"/>
    </row>
    <row r="505" spans="3:41" x14ac:dyDescent="0.25">
      <c r="C505" s="25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30"/>
    </row>
    <row r="506" spans="3:41" x14ac:dyDescent="0.25">
      <c r="C506" s="25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30"/>
    </row>
    <row r="507" spans="3:41" x14ac:dyDescent="0.25">
      <c r="C507" s="25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30"/>
    </row>
    <row r="508" spans="3:41" x14ac:dyDescent="0.25">
      <c r="C508" s="25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30"/>
    </row>
    <row r="509" spans="3:41" x14ac:dyDescent="0.25">
      <c r="C509" s="25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30"/>
    </row>
    <row r="510" spans="3:41" x14ac:dyDescent="0.25">
      <c r="C510" s="25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30"/>
    </row>
    <row r="511" spans="3:41" x14ac:dyDescent="0.25">
      <c r="C511" s="25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30"/>
    </row>
    <row r="512" spans="3:41" x14ac:dyDescent="0.25">
      <c r="C512" s="25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30"/>
    </row>
    <row r="513" spans="3:41" x14ac:dyDescent="0.25">
      <c r="C513" s="25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30"/>
    </row>
    <row r="514" spans="3:41" x14ac:dyDescent="0.25">
      <c r="C514" s="25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30"/>
    </row>
    <row r="515" spans="3:41" x14ac:dyDescent="0.25">
      <c r="C515" s="25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30"/>
    </row>
    <row r="516" spans="3:41" x14ac:dyDescent="0.25">
      <c r="C516" s="25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30"/>
    </row>
    <row r="517" spans="3:41" x14ac:dyDescent="0.25">
      <c r="C517" s="25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30"/>
    </row>
    <row r="518" spans="3:41" x14ac:dyDescent="0.25">
      <c r="C518" s="25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30"/>
    </row>
    <row r="519" spans="3:41" x14ac:dyDescent="0.25">
      <c r="C519" s="25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30"/>
    </row>
    <row r="520" spans="3:41" x14ac:dyDescent="0.25">
      <c r="C520" s="25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30"/>
    </row>
    <row r="521" spans="3:41" x14ac:dyDescent="0.25">
      <c r="C521" s="25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30"/>
    </row>
    <row r="522" spans="3:41" x14ac:dyDescent="0.25">
      <c r="C522" s="25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30"/>
    </row>
    <row r="523" spans="3:41" x14ac:dyDescent="0.25">
      <c r="C523" s="25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30"/>
    </row>
    <row r="524" spans="3:41" x14ac:dyDescent="0.25">
      <c r="C524" s="25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30"/>
    </row>
    <row r="525" spans="3:41" x14ac:dyDescent="0.25">
      <c r="C525" s="25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30"/>
    </row>
    <row r="526" spans="3:41" x14ac:dyDescent="0.25">
      <c r="C526" s="25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30"/>
    </row>
    <row r="527" spans="3:41" x14ac:dyDescent="0.25">
      <c r="C527" s="25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30"/>
    </row>
    <row r="528" spans="3:41" x14ac:dyDescent="0.25">
      <c r="C528" s="25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30"/>
    </row>
    <row r="529" spans="3:41" x14ac:dyDescent="0.25">
      <c r="C529" s="25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30"/>
    </row>
    <row r="530" spans="3:41" x14ac:dyDescent="0.25">
      <c r="C530" s="25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30"/>
    </row>
    <row r="531" spans="3:41" x14ac:dyDescent="0.25">
      <c r="C531" s="25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30"/>
    </row>
    <row r="532" spans="3:41" x14ac:dyDescent="0.25">
      <c r="C532" s="25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30"/>
    </row>
    <row r="533" spans="3:41" x14ac:dyDescent="0.25">
      <c r="C533" s="25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30"/>
    </row>
    <row r="534" spans="3:41" x14ac:dyDescent="0.25">
      <c r="C534" s="25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30"/>
    </row>
    <row r="535" spans="3:41" x14ac:dyDescent="0.25">
      <c r="C535" s="25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30"/>
    </row>
    <row r="536" spans="3:41" x14ac:dyDescent="0.25">
      <c r="C536" s="25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30"/>
    </row>
    <row r="537" spans="3:41" x14ac:dyDescent="0.25">
      <c r="C537" s="25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30"/>
    </row>
    <row r="538" spans="3:41" x14ac:dyDescent="0.25">
      <c r="C538" s="25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30"/>
    </row>
    <row r="539" spans="3:41" x14ac:dyDescent="0.25">
      <c r="C539" s="25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30"/>
    </row>
    <row r="540" spans="3:41" x14ac:dyDescent="0.25">
      <c r="C540" s="25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30"/>
    </row>
    <row r="541" spans="3:41" x14ac:dyDescent="0.25">
      <c r="C541" s="25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30"/>
    </row>
    <row r="542" spans="3:41" x14ac:dyDescent="0.25">
      <c r="C542" s="25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30"/>
    </row>
    <row r="543" spans="3:41" x14ac:dyDescent="0.25">
      <c r="C543" s="25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30"/>
    </row>
    <row r="544" spans="3:41" x14ac:dyDescent="0.25">
      <c r="C544" s="25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30"/>
    </row>
    <row r="545" spans="3:41" x14ac:dyDescent="0.25">
      <c r="C545" s="25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30"/>
    </row>
    <row r="546" spans="3:41" x14ac:dyDescent="0.25">
      <c r="C546" s="25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30"/>
    </row>
    <row r="547" spans="3:41" x14ac:dyDescent="0.25">
      <c r="C547" s="25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30"/>
    </row>
    <row r="548" spans="3:41" x14ac:dyDescent="0.25">
      <c r="C548" s="25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30"/>
    </row>
    <row r="549" spans="3:41" x14ac:dyDescent="0.25">
      <c r="C549" s="25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30"/>
    </row>
    <row r="550" spans="3:41" x14ac:dyDescent="0.25">
      <c r="C550" s="25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30"/>
    </row>
    <row r="551" spans="3:41" x14ac:dyDescent="0.25">
      <c r="C551" s="25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30"/>
    </row>
    <row r="552" spans="3:41" x14ac:dyDescent="0.25">
      <c r="C552" s="25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30"/>
    </row>
    <row r="553" spans="3:41" x14ac:dyDescent="0.25">
      <c r="C553" s="25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30"/>
    </row>
    <row r="554" spans="3:41" x14ac:dyDescent="0.25">
      <c r="C554" s="25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30"/>
    </row>
    <row r="555" spans="3:41" x14ac:dyDescent="0.25">
      <c r="C555" s="25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30"/>
    </row>
    <row r="556" spans="3:41" x14ac:dyDescent="0.25">
      <c r="C556" s="25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30"/>
    </row>
    <row r="557" spans="3:41" x14ac:dyDescent="0.25">
      <c r="C557" s="25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30"/>
    </row>
    <row r="558" spans="3:41" x14ac:dyDescent="0.25">
      <c r="C558" s="25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30"/>
    </row>
    <row r="559" spans="3:41" x14ac:dyDescent="0.25">
      <c r="C559" s="25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30"/>
    </row>
    <row r="560" spans="3:41" x14ac:dyDescent="0.25">
      <c r="C560" s="25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30"/>
    </row>
    <row r="561" spans="3:41" x14ac:dyDescent="0.25">
      <c r="C561" s="25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30"/>
    </row>
    <row r="562" spans="3:41" x14ac:dyDescent="0.25">
      <c r="C562" s="25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30"/>
    </row>
    <row r="563" spans="3:41" x14ac:dyDescent="0.25">
      <c r="C563" s="25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30"/>
    </row>
    <row r="564" spans="3:41" x14ac:dyDescent="0.25">
      <c r="C564" s="25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30"/>
    </row>
    <row r="565" spans="3:41" x14ac:dyDescent="0.25">
      <c r="C565" s="25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30"/>
    </row>
    <row r="566" spans="3:41" x14ac:dyDescent="0.25">
      <c r="C566" s="25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30"/>
    </row>
    <row r="567" spans="3:41" x14ac:dyDescent="0.25">
      <c r="C567" s="25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30"/>
    </row>
    <row r="568" spans="3:41" x14ac:dyDescent="0.25">
      <c r="C568" s="25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30"/>
    </row>
    <row r="569" spans="3:41" x14ac:dyDescent="0.25">
      <c r="C569" s="25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30"/>
    </row>
    <row r="570" spans="3:41" x14ac:dyDescent="0.25">
      <c r="C570" s="25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30"/>
    </row>
    <row r="571" spans="3:41" x14ac:dyDescent="0.25">
      <c r="C571" s="25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30"/>
    </row>
    <row r="572" spans="3:41" x14ac:dyDescent="0.25">
      <c r="C572" s="25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30"/>
    </row>
    <row r="573" spans="3:41" x14ac:dyDescent="0.25">
      <c r="C573" s="25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30"/>
    </row>
    <row r="574" spans="3:41" x14ac:dyDescent="0.25">
      <c r="C574" s="25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30"/>
    </row>
    <row r="575" spans="3:41" x14ac:dyDescent="0.25">
      <c r="C575" s="25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30"/>
    </row>
    <row r="576" spans="3:41" x14ac:dyDescent="0.25">
      <c r="C576" s="25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30"/>
    </row>
    <row r="577" spans="3:41" x14ac:dyDescent="0.25">
      <c r="C577" s="25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30"/>
    </row>
    <row r="578" spans="3:41" x14ac:dyDescent="0.25">
      <c r="C578" s="25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30"/>
    </row>
    <row r="579" spans="3:41" x14ac:dyDescent="0.25">
      <c r="C579" s="25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30"/>
    </row>
    <row r="580" spans="3:41" x14ac:dyDescent="0.25">
      <c r="C580" s="25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30"/>
    </row>
    <row r="581" spans="3:41" x14ac:dyDescent="0.25">
      <c r="C581" s="25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30"/>
    </row>
    <row r="582" spans="3:41" x14ac:dyDescent="0.25">
      <c r="C582" s="25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30"/>
    </row>
    <row r="583" spans="3:41" x14ac:dyDescent="0.25">
      <c r="C583" s="25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30"/>
    </row>
    <row r="584" spans="3:41" x14ac:dyDescent="0.25">
      <c r="C584" s="25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30"/>
    </row>
    <row r="585" spans="3:41" x14ac:dyDescent="0.25">
      <c r="C585" s="25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30"/>
    </row>
    <row r="586" spans="3:41" x14ac:dyDescent="0.25">
      <c r="C586" s="25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30"/>
    </row>
    <row r="587" spans="3:41" x14ac:dyDescent="0.25">
      <c r="C587" s="25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30"/>
    </row>
    <row r="588" spans="3:41" x14ac:dyDescent="0.25">
      <c r="C588" s="25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30"/>
    </row>
    <row r="589" spans="3:41" x14ac:dyDescent="0.25">
      <c r="C589" s="25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30"/>
    </row>
    <row r="590" spans="3:41" x14ac:dyDescent="0.25">
      <c r="C590" s="25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30"/>
    </row>
    <row r="591" spans="3:41" x14ac:dyDescent="0.25">
      <c r="C591" s="25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30"/>
    </row>
    <row r="592" spans="3:41" x14ac:dyDescent="0.25">
      <c r="C592" s="25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30"/>
    </row>
    <row r="593" spans="3:41" x14ac:dyDescent="0.25">
      <c r="C593" s="25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30"/>
    </row>
    <row r="594" spans="3:41" x14ac:dyDescent="0.25">
      <c r="C594" s="25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30"/>
    </row>
    <row r="595" spans="3:41" x14ac:dyDescent="0.25">
      <c r="C595" s="25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30"/>
    </row>
    <row r="596" spans="3:41" x14ac:dyDescent="0.25">
      <c r="C596" s="25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30"/>
    </row>
    <row r="597" spans="3:41" x14ac:dyDescent="0.25">
      <c r="C597" s="25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30"/>
    </row>
    <row r="598" spans="3:41" x14ac:dyDescent="0.25">
      <c r="C598" s="25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30"/>
    </row>
    <row r="599" spans="3:41" x14ac:dyDescent="0.25">
      <c r="C599" s="25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30"/>
    </row>
    <row r="600" spans="3:41" x14ac:dyDescent="0.25">
      <c r="C600" s="25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30"/>
    </row>
    <row r="601" spans="3:41" x14ac:dyDescent="0.25">
      <c r="C601" s="25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30"/>
    </row>
    <row r="602" spans="3:41" x14ac:dyDescent="0.25">
      <c r="C602" s="25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30"/>
    </row>
    <row r="603" spans="3:41" x14ac:dyDescent="0.25">
      <c r="C603" s="25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30"/>
    </row>
    <row r="604" spans="3:41" x14ac:dyDescent="0.25">
      <c r="C604" s="25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30"/>
    </row>
    <row r="605" spans="3:41" x14ac:dyDescent="0.25">
      <c r="C605" s="25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30"/>
    </row>
    <row r="606" spans="3:41" x14ac:dyDescent="0.25">
      <c r="C606" s="25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30"/>
    </row>
    <row r="607" spans="3:41" x14ac:dyDescent="0.25">
      <c r="C607" s="25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30"/>
    </row>
    <row r="608" spans="3:41" x14ac:dyDescent="0.25">
      <c r="C608" s="25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30"/>
    </row>
    <row r="609" spans="3:41" x14ac:dyDescent="0.25">
      <c r="C609" s="25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30"/>
    </row>
    <row r="610" spans="3:41" x14ac:dyDescent="0.25">
      <c r="C610" s="25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30"/>
    </row>
    <row r="611" spans="3:41" x14ac:dyDescent="0.25">
      <c r="C611" s="25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30"/>
    </row>
    <row r="612" spans="3:41" x14ac:dyDescent="0.25">
      <c r="C612" s="25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30"/>
    </row>
    <row r="613" spans="3:41" x14ac:dyDescent="0.25">
      <c r="C613" s="25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30"/>
    </row>
    <row r="614" spans="3:41" x14ac:dyDescent="0.25">
      <c r="C614" s="25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30"/>
    </row>
    <row r="615" spans="3:41" x14ac:dyDescent="0.25">
      <c r="C615" s="25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30"/>
    </row>
    <row r="616" spans="3:41" x14ac:dyDescent="0.25">
      <c r="C616" s="25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30"/>
    </row>
    <row r="617" spans="3:41" x14ac:dyDescent="0.25">
      <c r="C617" s="25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30"/>
    </row>
    <row r="618" spans="3:41" x14ac:dyDescent="0.25">
      <c r="C618" s="25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30"/>
    </row>
    <row r="619" spans="3:41" x14ac:dyDescent="0.25">
      <c r="C619" s="25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30"/>
    </row>
    <row r="620" spans="3:41" x14ac:dyDescent="0.25">
      <c r="C620" s="25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30"/>
    </row>
    <row r="621" spans="3:41" x14ac:dyDescent="0.25">
      <c r="C621" s="25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30"/>
    </row>
    <row r="622" spans="3:41" x14ac:dyDescent="0.25">
      <c r="C622" s="25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30"/>
    </row>
    <row r="623" spans="3:41" x14ac:dyDescent="0.25">
      <c r="C623" s="25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30"/>
    </row>
    <row r="624" spans="3:41" x14ac:dyDescent="0.25">
      <c r="C624" s="25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30"/>
    </row>
    <row r="625" spans="3:41" x14ac:dyDescent="0.25">
      <c r="C625" s="25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30"/>
    </row>
    <row r="626" spans="3:41" x14ac:dyDescent="0.25">
      <c r="C626" s="25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30"/>
    </row>
    <row r="627" spans="3:41" x14ac:dyDescent="0.25">
      <c r="C627" s="25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30"/>
    </row>
    <row r="628" spans="3:41" x14ac:dyDescent="0.25">
      <c r="C628" s="25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30"/>
    </row>
    <row r="629" spans="3:41" x14ac:dyDescent="0.25">
      <c r="C629" s="25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30"/>
    </row>
    <row r="630" spans="3:41" x14ac:dyDescent="0.25">
      <c r="C630" s="25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30"/>
    </row>
    <row r="631" spans="3:41" x14ac:dyDescent="0.25">
      <c r="C631" s="25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30"/>
    </row>
    <row r="632" spans="3:41" x14ac:dyDescent="0.25">
      <c r="C632" s="25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30"/>
    </row>
    <row r="633" spans="3:41" x14ac:dyDescent="0.25">
      <c r="C633" s="25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30"/>
    </row>
    <row r="634" spans="3:41" x14ac:dyDescent="0.25">
      <c r="C634" s="25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30"/>
    </row>
    <row r="635" spans="3:41" x14ac:dyDescent="0.25">
      <c r="C635" s="25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30"/>
    </row>
    <row r="636" spans="3:41" x14ac:dyDescent="0.25">
      <c r="C636" s="25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30"/>
    </row>
    <row r="637" spans="3:41" x14ac:dyDescent="0.25">
      <c r="C637" s="25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30"/>
    </row>
    <row r="638" spans="3:41" x14ac:dyDescent="0.25">
      <c r="C638" s="25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30"/>
    </row>
    <row r="639" spans="3:41" x14ac:dyDescent="0.25">
      <c r="C639" s="25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30"/>
    </row>
    <row r="640" spans="3:41" x14ac:dyDescent="0.25">
      <c r="C640" s="25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30"/>
    </row>
    <row r="641" spans="3:41" x14ac:dyDescent="0.25">
      <c r="C641" s="25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30"/>
    </row>
    <row r="642" spans="3:41" x14ac:dyDescent="0.25">
      <c r="C642" s="25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30"/>
    </row>
    <row r="643" spans="3:41" x14ac:dyDescent="0.25">
      <c r="C643" s="25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30"/>
    </row>
    <row r="644" spans="3:41" x14ac:dyDescent="0.25">
      <c r="C644" s="25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30"/>
    </row>
    <row r="645" spans="3:41" x14ac:dyDescent="0.25">
      <c r="C645" s="25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30"/>
    </row>
    <row r="646" spans="3:41" x14ac:dyDescent="0.25">
      <c r="C646" s="25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30"/>
    </row>
    <row r="647" spans="3:41" x14ac:dyDescent="0.25">
      <c r="C647" s="25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30"/>
    </row>
    <row r="648" spans="3:41" x14ac:dyDescent="0.25">
      <c r="C648" s="25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30"/>
    </row>
    <row r="649" spans="3:41" x14ac:dyDescent="0.25">
      <c r="C649" s="25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30"/>
    </row>
    <row r="650" spans="3:41" x14ac:dyDescent="0.25">
      <c r="C650" s="25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30"/>
    </row>
    <row r="651" spans="3:41" x14ac:dyDescent="0.25">
      <c r="C651" s="25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30"/>
    </row>
    <row r="652" spans="3:41" x14ac:dyDescent="0.25">
      <c r="C652" s="25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30"/>
    </row>
    <row r="653" spans="3:41" x14ac:dyDescent="0.25">
      <c r="C653" s="25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30"/>
    </row>
    <row r="654" spans="3:41" x14ac:dyDescent="0.25">
      <c r="C654" s="25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30"/>
    </row>
    <row r="655" spans="3:41" x14ac:dyDescent="0.25">
      <c r="C655" s="25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30"/>
    </row>
    <row r="656" spans="3:41" x14ac:dyDescent="0.25">
      <c r="C656" s="25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30"/>
    </row>
    <row r="657" spans="3:41" x14ac:dyDescent="0.25">
      <c r="C657" s="25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30"/>
    </row>
    <row r="658" spans="3:41" x14ac:dyDescent="0.25">
      <c r="C658" s="25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30"/>
    </row>
    <row r="659" spans="3:41" x14ac:dyDescent="0.25">
      <c r="C659" s="25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30"/>
    </row>
    <row r="660" spans="3:41" x14ac:dyDescent="0.25">
      <c r="C660" s="25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30"/>
    </row>
    <row r="661" spans="3:41" x14ac:dyDescent="0.25">
      <c r="C661" s="25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30"/>
    </row>
    <row r="662" spans="3:41" x14ac:dyDescent="0.25">
      <c r="C662" s="25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30"/>
    </row>
    <row r="663" spans="3:41" x14ac:dyDescent="0.25">
      <c r="C663" s="25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30"/>
    </row>
    <row r="664" spans="3:41" x14ac:dyDescent="0.25">
      <c r="C664" s="25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30"/>
    </row>
    <row r="665" spans="3:41" x14ac:dyDescent="0.25">
      <c r="C665" s="25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30"/>
    </row>
    <row r="666" spans="3:41" x14ac:dyDescent="0.25">
      <c r="C666" s="25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30"/>
    </row>
    <row r="667" spans="3:41" x14ac:dyDescent="0.25">
      <c r="C667" s="25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30"/>
    </row>
    <row r="668" spans="3:41" x14ac:dyDescent="0.25">
      <c r="C668" s="25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30"/>
    </row>
    <row r="669" spans="3:41" x14ac:dyDescent="0.25">
      <c r="C669" s="25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30"/>
    </row>
    <row r="670" spans="3:41" x14ac:dyDescent="0.25">
      <c r="C670" s="25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30"/>
    </row>
    <row r="671" spans="3:41" x14ac:dyDescent="0.25">
      <c r="C671" s="25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30"/>
    </row>
    <row r="672" spans="3:41" x14ac:dyDescent="0.25">
      <c r="C672" s="25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30"/>
    </row>
    <row r="673" spans="3:41" x14ac:dyDescent="0.25">
      <c r="C673" s="25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30"/>
    </row>
    <row r="674" spans="3:41" x14ac:dyDescent="0.25">
      <c r="C674" s="25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30"/>
    </row>
    <row r="675" spans="3:41" x14ac:dyDescent="0.25">
      <c r="C675" s="25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30"/>
    </row>
  </sheetData>
  <conditionalFormatting sqref="A25">
    <cfRule type="duplicateValues" dxfId="17" priority="2"/>
    <cfRule type="duplicateValues" dxfId="16" priority="3"/>
  </conditionalFormatting>
  <conditionalFormatting sqref="A24">
    <cfRule type="duplicateValues" dxfId="15" priority="4"/>
    <cfRule type="duplicateValues" dxfId="14" priority="5"/>
  </conditionalFormatting>
  <conditionalFormatting sqref="A21:A23">
    <cfRule type="duplicateValues" dxfId="13" priority="6"/>
    <cfRule type="duplicateValues" dxfId="12" priority="7"/>
  </conditionalFormatting>
  <conditionalFormatting sqref="A20">
    <cfRule type="duplicateValues" dxfId="11" priority="8"/>
    <cfRule type="duplicateValues" dxfId="10" priority="9"/>
  </conditionalFormatting>
  <conditionalFormatting sqref="A18:A19">
    <cfRule type="duplicateValues" dxfId="9" priority="10"/>
    <cfRule type="duplicateValues" dxfId="8" priority="11"/>
  </conditionalFormatting>
  <conditionalFormatting sqref="A16:A17">
    <cfRule type="duplicateValues" dxfId="7" priority="12"/>
    <cfRule type="duplicateValues" dxfId="6" priority="13"/>
  </conditionalFormatting>
  <conditionalFormatting sqref="A13">
    <cfRule type="duplicateValues" dxfId="5" priority="14"/>
    <cfRule type="duplicateValues" dxfId="4" priority="15"/>
  </conditionalFormatting>
  <conditionalFormatting sqref="A1">
    <cfRule type="duplicateValues" dxfId="3" priority="16"/>
  </conditionalFormatting>
  <conditionalFormatting sqref="A26:A1048576 A2:A4">
    <cfRule type="duplicateValues" dxfId="2" priority="17"/>
  </conditionalFormatting>
  <conditionalFormatting sqref="A14:A15 A5:A12">
    <cfRule type="duplicateValues" dxfId="1" priority="18"/>
    <cfRule type="duplicateValues" dxfId="0" priority="19"/>
  </conditionalFormatting>
  <pageMargins left="0.7" right="0.7" top="0.78749999999999998" bottom="0.78749999999999998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14</vt:i4>
      </vt:variant>
    </vt:vector>
  </HeadingPairs>
  <TitlesOfParts>
    <vt:vector size="17" baseType="lpstr">
      <vt:lpstr>Config</vt:lpstr>
      <vt:lpstr>Macro</vt:lpstr>
      <vt:lpstr>Questions</vt:lpstr>
      <vt:lpstr>R_miss_rec_val</vt:lpstr>
      <vt:lpstr>V_BookNo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Urs Wilke</cp:lastModifiedBy>
  <cp:revision>15</cp:revision>
  <dcterms:created xsi:type="dcterms:W3CDTF">2021-03-29T10:59:51Z</dcterms:created>
  <dcterms:modified xsi:type="dcterms:W3CDTF">2024-12-02T09:29:09Z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