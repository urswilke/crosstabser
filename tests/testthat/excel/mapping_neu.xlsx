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57E362C6-61B4-4769-879D-3365793D809D}" xr6:coauthVersionLast="47" xr6:coauthVersionMax="47" xr10:uidLastSave="{00000000-0000-0000-0000-000000000000}"/>
  <bookViews>
    <workbookView xWindow="-120" yWindow="-120" windowWidth="29040" windowHeight="15525" tabRatio="500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  <externalReference r:id="rId6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  <definedName name="V_Variablen">[3]Variables!$V:$X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8" i="3" l="1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A18" i="3"/>
  <c r="A17" i="3"/>
  <c r="A16" i="3"/>
  <c r="A15" i="3"/>
  <c r="A14" i="3"/>
  <c r="H13" i="3"/>
  <c r="A12" i="3"/>
  <c r="A11" i="3"/>
  <c r="A10" i="3"/>
  <c r="H9" i="3"/>
  <c r="A9" i="3"/>
  <c r="A8" i="3"/>
  <c r="G8" i="3" s="1"/>
  <c r="H8" i="3" s="1"/>
  <c r="G7" i="3"/>
  <c r="H7" i="3" s="1"/>
  <c r="A7" i="3"/>
  <c r="G6" i="3"/>
  <c r="A6" i="3"/>
  <c r="F5" i="2"/>
  <c r="B33" i="1"/>
  <c r="B32" i="1"/>
  <c r="B24" i="1"/>
  <c r="B23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V1" authorId="0" shapeId="0" xr:uid="{AA219F64-AF62-47FD-ACC7-13E86F169AD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O1" authorId="1" shapeId="0" xr:uid="{584E699F-8FC7-40AB-9A35-81E19470E8EC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<sst xmlns="http://schemas.openxmlformats.org/spreadsheetml/2006/main" count="787" uniqueCount="316">
  <si>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</si>
  <si>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</si>
  <si>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</si>
  <si>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</si>
  <si>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</si>
  <si>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</si>
  <si>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</si>
  <si>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</si>
  <si>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</si>
  <si>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</si>
  <si>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</si>
  <si>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</si>
  <si>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</si>
  <si>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</si>
  <si>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</si>
  <si>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</si>
  <si>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</si>
  <si>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</si>
  <si>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</si>
  <si>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</si>
  <si>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</si>
  <si>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</si>
  <si>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</si>
  <si>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</si>
  <si>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</si>
  <si>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</si>
  <si>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</si>
  <si>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</si>
  <si>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</si>
  <si>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</si>
  <si>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</si>
  <si>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</si>
  <si>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</si>
  <si>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</si>
  <si>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</si>
  <si>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</si>
  <si>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</si>
  <si>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</si>
  <si>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</si>
  <si>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</si>
  <si>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</si>
  <si>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</si>
  <si>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</si>
  <si>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</si>
  <si>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</si>
  <si>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</si>
  <si>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</si>
  <si>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</si>
  <si>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</si>
  <si>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</si>
  <si>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</si>
  <si>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</si>
  <si>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</si>
  <si>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</si>
  <si>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</si>
  <si>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</si>
  <si>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</si>
  <si>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</si>
  <si>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</si>
  <si>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</si>
  <si>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</si>
  <si>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</si>
  <si>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</si>
  <si>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</si>
  <si>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</si>
  <si>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</si>
  <si>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</si>
  <si>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</si>
  <si>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</si>
  <si>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</si>
  <si>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</si>
  <si>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</si>
  <si>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</si>
  <si>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</si>
  <si>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</si>
  <si>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</si>
  <si>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</si>
  <si>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</si>
  <si>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</si>
  <si>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</si>
  <si>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</si>
  <si>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</si>
  <si>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</si>
  <si>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</si>
  <si>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</si>
  <si>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</si>
  <si>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</si>
  <si>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</si>
  <si>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</si>
  <si>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</si>
  <si>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</si>
  <si>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</si>
  <si>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</si>
  <si>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</si>
  <si>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</si>
  <si>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</si>
  <si>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</si>
  <si>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</si>
  <si>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</si>
  <si>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</si>
  <si>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</si>
  <si>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</si>
  <si>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</si>
  <si>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</si>
  <si>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</si>
  <si>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</si>
  <si>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</si>
  <si>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</si>
  <si>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</si>
  <si>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</si>
  <si>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</si>
  <si>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</si>
  <si>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</si>
  <si>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</si>
  <si>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</si>
  <si>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</si>
  <si>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</si>
  <si>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</si>
  <si>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</si>
  <si>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</si>
  <si>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</si>
  <si>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</si>
  <si>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</si>
  <si>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</si>
  <si>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</si>
  <si>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</si>
  <si>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</si>
  <si>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</si>
  <si>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</si>
  <si>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</si>
  <si>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</si>
  <si>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</si>
  <si>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</si>
  <si>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</si>
  <si>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</si>
  <si>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</si>
  <si>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</si>
  <si>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</si>
  <si>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</si>
  <si>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</si>
  <si>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</si>
  <si>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</si>
  <si>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</si>
  <si>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</si>
  <si>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</si>
  <si>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</si>
  <si>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</si>
  <si>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</si>
  <si>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</si>
  <si>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</si>
  <si>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</si>
  <si>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</si>
  <si>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</si>
  <si>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</si>
  <si>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</si>
  <si>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</si>
  <si>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</si>
  <si>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</si>
  <si>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</si>
  <si>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</si>
  <si>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</si>
  <si>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</si>
  <si>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</si>
  <si>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</si>
  <si>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</si>
  <si>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</si>
  <si>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</si>
  <si>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</si>
  <si>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</si>
  <si>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</si>
  <si>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</si>
  <si>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</si>
  <si>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</si>
  <si>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</si>
  <si>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</si>
  <si>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</si>
  <si>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</si>
  <si>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</si>
  <si>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</si>
  <si>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</si>
  <si>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</si>
  <si>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</si>
  <si>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</si>
  <si>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</si>
  <si>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</si>
  <si>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</si>
  <si>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</si>
  <si>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</si>
  <si>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</si>
  <si>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</si>
  <si>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</si>
  <si>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</si>
  <si>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</si>
  <si>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</si>
  <si>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</si>
  <si>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</si>
  <si>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</si>
  <si>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</si>
  <si>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</si>
  <si>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</si>
  <si>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</si>
  <si>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</si>
  <si>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</si>
  <si>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</si>
  <si>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</si>
  <si>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</si>
  <si>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</si>
  <si>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</si>
  <si>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</si>
  <si>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</si>
  <si>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</si>
  <si>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</si>
  <si>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</si>
  <si>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</si>
  <si>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</si>
  <si>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</si>
  <si>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</si>
  <si>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</si>
  <si>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</si>
  <si>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</si>
  <si>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</si>
  <si>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</si>
  <si>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</si>
  <si>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</si>
  <si>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Custom1</t>
  </si>
  <si>
    <t>Custom2</t>
  </si>
  <si>
    <t>Custom3</t>
  </si>
  <si>
    <t>Type</t>
  </si>
  <si>
    <t>Filter</t>
  </si>
  <si>
    <t>CatRec</t>
  </si>
  <si>
    <t>CatLab</t>
  </si>
  <si>
    <t>StatVar</t>
  </si>
  <si>
    <t>TitleSPSS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</si>
  <si>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</si>
  <si>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</si>
  <si>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</si>
  <si>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</si>
  <si>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</si>
  <si>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</si>
  <si>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</si>
  <si>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</si>
  <si>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</si>
  <si>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</si>
  <si>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</si>
  <si>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q4</t>
  </si>
  <si>
    <t>ColPl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</si>
  <si>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</si>
  <si>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</si>
  <si>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</si>
  <si>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</si>
  <si>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</si>
  <si>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</si>
  <si>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</si>
  <si>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</si>
  <si>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</si>
  <si>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</si>
  <si>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kregio kq10 kq4 kq4xregiok10 kq4xregiok20 kq4xregiok30 kq4xregiok40</t>
  </si>
  <si>
    <t>gew</t>
  </si>
  <si>
    <t>Region</t>
  </si>
  <si>
    <t>regio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</si>
  <si>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</si>
  <si>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</si>
  <si>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</si>
  <si>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</si>
  <si>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</si>
  <si>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S1E2</t>
  </si>
  <si>
    <t xml:space="preserve">4. Wie häufig haben Sie einen Tabellenband in den letzten 12 Monaten erstellen lassen? </t>
  </si>
  <si>
    <t xml:space="preserve">(1 THRU 2 = 1) (3 THRU 5 = 2) (6 THRU HI = 3) </t>
  </si>
  <si>
    <t xml:space="preserve">1 '1-2mal' 2 '3-5mal' 3 '&gt;5mal' </t>
  </si>
  <si>
    <t>S1E2M0</t>
  </si>
  <si>
    <t>5. Was lief besonders gut in den Projekten?</t>
  </si>
  <si>
    <t>mcg</t>
  </si>
  <si>
    <t xml:space="preserve">q5n1 q5n2 q5n3 q5n4 q5n5 </t>
  </si>
  <si>
    <t>Kundenzufriedenheitsstudien</t>
  </si>
  <si>
    <t>q2_01 = 1</t>
  </si>
  <si>
    <t>Marktdurchdringung</t>
  </si>
  <si>
    <t>q2_02 = 1</t>
  </si>
  <si>
    <t>Abgefragte Studienarten</t>
  </si>
  <si>
    <t>sel0 sel1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</si>
  <si>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</si>
  <si>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</si>
  <si>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</si>
  <si>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 xml:space="preserve">(1 THRU 2=1) (3=2) (4 THRU 5=3)  | (1 THRU 2=1) (3=3) (4=4) (5=5) </t>
  </si>
  <si>
    <t>1 '1 und 2' 2 '3' 3 '4 und 5' | 1 '1 und 2' 3 '3' 4 '4' 5 '5'</t>
  </si>
  <si>
    <t>7. Für die abgefragten Studienarten: Wie zufrieden sind Sie mit dem Tabellenbandtool bezüglich der eben abgefragten Merkmale?' 'DC#SELVALLAB</t>
  </si>
  <si>
    <t xml:space="preserve">q7a1 q7a2 q7b1 q7b2 q7c1 q7c2 q7d1 q7d2 q7e1 q7e2 q7f1 q7f2 q7g1 q7g2 q7h1 q7h2 </t>
  </si>
  <si>
    <t>(1 THRU 4=1) (5 THRU 7=2) (8 THRU 10=3)</t>
  </si>
  <si>
    <t>1 '1 bis 4' 2 '5 bis 7' 3 '8 bis 10'</t>
  </si>
  <si>
    <t>8. Wie zufrieden sind Sie mit dem Tabellenbandtool insgesamt?' 'DC#SELVALLAB</t>
  </si>
  <si>
    <t>q81 q82</t>
  </si>
  <si>
    <t>(1 THRU 4=1) (5 THRU 6=2) (7 THRU 10=3)|(1 THRU 5=1) (6 THRU 7=2) (8 THRU 10=3)</t>
  </si>
  <si>
    <t>1 '1 bis 4' 2 '5 bis 6' 3 '7 bis 10'|1 '1 bis 5' 2 '6 bis 7' 3 '8 bis 10'</t>
  </si>
  <si>
    <t>9. Würden Sie das Tabellenbandtool weiterempfehlen?' 'DC#SELVALLAB</t>
  </si>
  <si>
    <t>q91 q92</t>
  </si>
  <si>
    <t>(0 THRU 6=3) (7,8=2) (9,10=1) {[1]-[3]='NPS'}</t>
  </si>
  <si>
    <t>1 'Promoters' 2 'Indifferent' 3 'Detractors'</t>
  </si>
  <si>
    <t>10. Dürfte ich Sie noch nach Ihrem Alter fragen?</t>
  </si>
  <si>
    <t>q10</t>
  </si>
  <si>
    <t xml:space="preserve">(18 THRU 39 = 1) (40 THRU 49 = 2) (50 THRU 97 = 3) </t>
  </si>
  <si>
    <t xml:space="preserve">1 '18 bis 39' 2 '40 bis 49' 3 '50 und älter' </t>
  </si>
  <si>
    <t>Absteigend nach Häufigkeit sortiert</t>
  </si>
  <si>
    <t>Nur Kundenzufriedenheitsstudien</t>
  </si>
  <si>
    <t>Alphabetisch sortiert</t>
  </si>
  <si>
    <t>q1</t>
  </si>
  <si>
    <t>3 4 2 2-5:Alle</t>
  </si>
  <si>
    <t>ORDER=D KEY=COUNT</t>
  </si>
  <si>
    <t>ORDER=A</t>
  </si>
  <si>
    <t>1 2 3-6:Sonstige</t>
  </si>
  <si>
    <t>Einzelauspraegung</t>
  </si>
  <si>
    <t>OMS</t>
  </si>
  <si>
    <t>RepOV</t>
  </si>
  <si>
    <t>MWVar</t>
  </si>
  <si>
    <t>Exclusive</t>
  </si>
  <si>
    <t>TOP2:(4 THRU 5=100) (1 THRU 5=0)|TOP1:(5=100) (1 THRU 5=0)</t>
  </si>
  <si>
    <t>TOP3:(8 THRU 10=100) (1 THRU 10=0)|BOTTOM4:(1 THRU 4=100) (1 THRU 10=0)</t>
  </si>
  <si>
    <t>DEUTSCH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</si>
</sst>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5" fillId="11" borderId="0" xfId="1" applyFont="1" applyFill="1"/>
    <xf numFmtId="0" fontId="1" fillId="4" borderId="0" xfId="0" applyFont="1" applyFill="1"/>
    <xf numFmtId="0" fontId="1" fillId="12" borderId="0" xfId="1" applyFill="1"/>
    <xf numFmtId="0" fontId="1" fillId="13" borderId="0" xfId="1" applyFill="1"/>
    <xf numFmtId="0" fontId="5" fillId="14" borderId="0" xfId="1" applyFont="1" applyFill="1"/>
    <xf numFmtId="0" fontId="7" fillId="15" borderId="0" xfId="1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6" borderId="0" xfId="1" applyFill="1"/>
    <xf numFmtId="0" fontId="1" fillId="17" borderId="0" xfId="1" applyFill="1"/>
    <xf numFmtId="0" fontId="8" fillId="16" borderId="0" xfId="0" applyFont="1" applyFill="1"/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Template%20folder\Syntax\Mapping%20aktuell.xlsm" TargetMode="External"/><Relationship Id="rId1" Type="http://schemas.openxmlformats.org/officeDocument/2006/relationships/externalLinkPath" Target="/Tools/TableBook/202304/Template%20folder/Syntax/Mapping%20aktuel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XML"/>
      <sheetName val="Tabelle2"/>
      <sheetName val="Data"/>
      <sheetName val="Variables"/>
      <sheetName val="Label"/>
      <sheetName val="Verbatims"/>
      <sheetName val="VerbCode"/>
      <sheetName val="Free1"/>
      <sheetName val="Free2"/>
      <sheetName val="Macro"/>
      <sheetName val="Questions"/>
      <sheetName val="Log10"/>
      <sheetName val="Log20"/>
      <sheetName val="Log40"/>
      <sheetName val="Tabelle1"/>
    </sheetNames>
    <sheetDataSet>
      <sheetData sheetId="0"/>
      <sheetData sheetId="1"/>
      <sheetData sheetId="2"/>
      <sheetData sheetId="3"/>
      <sheetData sheetId="4">
        <row r="3">
          <cell r="V3" t="str">
            <v>DC_</v>
          </cell>
          <cell r="W3" t="str">
            <v>DC_</v>
          </cell>
          <cell r="X3" t="str">
            <v xml:space="preserve">DC_ID </v>
          </cell>
        </row>
        <row r="4">
          <cell r="V4" t="str">
            <v>id</v>
          </cell>
          <cell r="W4" t="str">
            <v>id</v>
          </cell>
          <cell r="X4" t="str">
            <v xml:space="preserve">id </v>
          </cell>
        </row>
        <row r="5">
          <cell r="V5" t="str">
            <v>scr</v>
          </cell>
          <cell r="W5" t="str">
            <v>scr</v>
          </cell>
          <cell r="X5" t="str">
            <v xml:space="preserve">screenout </v>
          </cell>
        </row>
        <row r="6">
          <cell r="V6" t="str">
            <v>dat</v>
          </cell>
          <cell r="W6" t="str">
            <v>dat</v>
          </cell>
          <cell r="X6" t="str">
            <v xml:space="preserve">datum </v>
          </cell>
        </row>
        <row r="7">
          <cell r="V7" t="str">
            <v>q1</v>
          </cell>
          <cell r="W7" t="str">
            <v>q1</v>
          </cell>
          <cell r="X7" t="str">
            <v xml:space="preserve">q1 </v>
          </cell>
        </row>
        <row r="8">
          <cell r="V8" t="str">
            <v/>
          </cell>
          <cell r="W8" t="str">
            <v>q2</v>
          </cell>
          <cell r="X8" t="str">
            <v/>
          </cell>
        </row>
        <row r="9">
          <cell r="V9" t="str">
            <v/>
          </cell>
          <cell r="W9" t="str">
            <v>q2</v>
          </cell>
          <cell r="X9" t="str">
            <v xml:space="preserve">q2_01 </v>
          </cell>
        </row>
        <row r="10">
          <cell r="V10" t="str">
            <v/>
          </cell>
          <cell r="W10" t="str">
            <v>q2</v>
          </cell>
          <cell r="X10" t="str">
            <v xml:space="preserve">q2_01 q2_02 </v>
          </cell>
        </row>
        <row r="11">
          <cell r="V11" t="str">
            <v/>
          </cell>
          <cell r="W11" t="str">
            <v>q2</v>
          </cell>
          <cell r="X11" t="str">
            <v xml:space="preserve">q2_01 q2_02 q2_03 </v>
          </cell>
        </row>
        <row r="12">
          <cell r="V12" t="str">
            <v/>
          </cell>
          <cell r="W12" t="str">
            <v>q2</v>
          </cell>
          <cell r="X12" t="str">
            <v xml:space="preserve">q2_01 q2_02 q2_03 q2_04 </v>
          </cell>
        </row>
        <row r="13">
          <cell r="V13" t="str">
            <v/>
          </cell>
          <cell r="W13" t="str">
            <v>q2</v>
          </cell>
          <cell r="X13" t="str">
            <v xml:space="preserve">q2_01 q2_02 q2_03 q2_04 q2_05 </v>
          </cell>
        </row>
        <row r="14">
          <cell r="V14" t="str">
            <v/>
          </cell>
          <cell r="W14" t="str">
            <v>q2</v>
          </cell>
          <cell r="X14" t="str">
            <v xml:space="preserve">q2_01 q2_02 q2_03 q2_04 q2_05 q2_06 </v>
          </cell>
        </row>
        <row r="15">
          <cell r="V15" t="str">
            <v/>
          </cell>
          <cell r="W15" t="str">
            <v>q2</v>
          </cell>
          <cell r="X15" t="str">
            <v xml:space="preserve">q2_01 q2_02 q2_03 q2_04 q2_05 q2_06 q2_07 </v>
          </cell>
        </row>
        <row r="16">
          <cell r="V16" t="str">
            <v>q2</v>
          </cell>
          <cell r="W16" t="str">
            <v>q2</v>
          </cell>
          <cell r="X16" t="str">
            <v xml:space="preserve">q2_01 q2_02 q2_03 q2_04 q2_05 q2_06 q2_07 </v>
          </cell>
        </row>
        <row r="17">
          <cell r="V17" t="str">
            <v/>
          </cell>
          <cell r="W17" t="str">
            <v>q3</v>
          </cell>
          <cell r="X17" t="str">
            <v xml:space="preserve">q3a </v>
          </cell>
        </row>
        <row r="18">
          <cell r="V18" t="str">
            <v/>
          </cell>
          <cell r="W18" t="str">
            <v>q3</v>
          </cell>
          <cell r="X18" t="str">
            <v xml:space="preserve">q3a q3b </v>
          </cell>
        </row>
        <row r="19">
          <cell r="V19" t="str">
            <v/>
          </cell>
          <cell r="W19" t="str">
            <v>q3</v>
          </cell>
          <cell r="X19" t="str">
            <v xml:space="preserve">q3a q3b q3c </v>
          </cell>
        </row>
        <row r="20">
          <cell r="V20" t="str">
            <v/>
          </cell>
          <cell r="W20" t="str">
            <v>q3</v>
          </cell>
          <cell r="X20" t="str">
            <v xml:space="preserve">q3a q3b q3c q3d </v>
          </cell>
        </row>
        <row r="21">
          <cell r="V21" t="str">
            <v/>
          </cell>
          <cell r="W21" t="str">
            <v>q3</v>
          </cell>
          <cell r="X21" t="str">
            <v xml:space="preserve">q3a q3b q3c q3d q3e </v>
          </cell>
        </row>
        <row r="22">
          <cell r="V22" t="str">
            <v/>
          </cell>
          <cell r="W22" t="str">
            <v>q3</v>
          </cell>
          <cell r="X22" t="str">
            <v xml:space="preserve">q3a q3b q3c q3d q3e q3f </v>
          </cell>
        </row>
        <row r="23">
          <cell r="V23" t="str">
            <v>q3</v>
          </cell>
          <cell r="W23" t="str">
            <v>q3</v>
          </cell>
          <cell r="X23" t="str">
            <v xml:space="preserve">q3a q3b q3c q3d q3e q3f q3g </v>
          </cell>
        </row>
        <row r="24">
          <cell r="V24" t="str">
            <v>q4</v>
          </cell>
          <cell r="W24" t="str">
            <v>q4</v>
          </cell>
          <cell r="X24" t="str">
            <v xml:space="preserve">q4 </v>
          </cell>
        </row>
        <row r="25">
          <cell r="V25" t="str">
            <v/>
          </cell>
          <cell r="W25" t="str">
            <v>q6</v>
          </cell>
          <cell r="X25" t="str">
            <v xml:space="preserve">q6a </v>
          </cell>
        </row>
        <row r="26">
          <cell r="V26" t="str">
            <v/>
          </cell>
          <cell r="W26" t="str">
            <v>q6</v>
          </cell>
          <cell r="X26" t="str">
            <v xml:space="preserve">q6a q6b </v>
          </cell>
        </row>
        <row r="27">
          <cell r="V27" t="str">
            <v/>
          </cell>
          <cell r="W27" t="str">
            <v>q6</v>
          </cell>
          <cell r="X27" t="str">
            <v xml:space="preserve">q6a q6b q6c </v>
          </cell>
        </row>
        <row r="28">
          <cell r="V28" t="str">
            <v/>
          </cell>
          <cell r="W28" t="str">
            <v>q6</v>
          </cell>
          <cell r="X28" t="str">
            <v xml:space="preserve">q6a q6b q6c q6d </v>
          </cell>
        </row>
        <row r="29">
          <cell r="V29" t="str">
            <v/>
          </cell>
          <cell r="W29" t="str">
            <v>q6</v>
          </cell>
          <cell r="X29" t="str">
            <v xml:space="preserve">q6a q6b q6c q6d q6e </v>
          </cell>
        </row>
        <row r="30">
          <cell r="V30" t="str">
            <v/>
          </cell>
          <cell r="W30" t="str">
            <v>q6</v>
          </cell>
          <cell r="X30" t="str">
            <v xml:space="preserve">q6a q6b q6c q6d q6e q6f </v>
          </cell>
        </row>
        <row r="31">
          <cell r="V31" t="str">
            <v/>
          </cell>
          <cell r="W31" t="str">
            <v>q6</v>
          </cell>
          <cell r="X31" t="str">
            <v xml:space="preserve">q6a q6b q6c q6d q6e q6f q6g </v>
          </cell>
        </row>
        <row r="32">
          <cell r="V32" t="str">
            <v>q6</v>
          </cell>
          <cell r="W32" t="str">
            <v>q6</v>
          </cell>
          <cell r="X32" t="str">
            <v xml:space="preserve">q6a q6b q6c q6d q6e q6f q6g q6h </v>
          </cell>
        </row>
        <row r="33">
          <cell r="V33" t="str">
            <v>se</v>
          </cell>
          <cell r="W33" t="str">
            <v>se</v>
          </cell>
          <cell r="X33" t="str">
            <v xml:space="preserve">sel1 </v>
          </cell>
        </row>
        <row r="34">
          <cell r="V34" t="str">
            <v/>
          </cell>
          <cell r="W34" t="str">
            <v>q7</v>
          </cell>
          <cell r="X34" t="str">
            <v xml:space="preserve">q7a1 </v>
          </cell>
        </row>
        <row r="35">
          <cell r="V35" t="str">
            <v/>
          </cell>
          <cell r="W35" t="str">
            <v>q7</v>
          </cell>
          <cell r="X35" t="str">
            <v xml:space="preserve">q7a1 q7a2 </v>
          </cell>
        </row>
        <row r="36">
          <cell r="V36" t="str">
            <v/>
          </cell>
          <cell r="W36" t="str">
            <v>q7</v>
          </cell>
          <cell r="X36" t="str">
            <v xml:space="preserve">q7a1 q7a2 q7b1 </v>
          </cell>
        </row>
        <row r="37">
          <cell r="V37" t="str">
            <v/>
          </cell>
          <cell r="W37" t="str">
            <v>q7</v>
          </cell>
          <cell r="X37" t="str">
            <v xml:space="preserve">q7a1 q7a2 q7b1 q7b2 </v>
          </cell>
        </row>
        <row r="38">
          <cell r="V38" t="str">
            <v/>
          </cell>
          <cell r="W38" t="str">
            <v>q7</v>
          </cell>
          <cell r="X38" t="str">
            <v xml:space="preserve">q7a1 q7a2 q7b1 q7b2 q7c1 </v>
          </cell>
        </row>
        <row r="39">
          <cell r="V39" t="str">
            <v/>
          </cell>
          <cell r="W39" t="str">
            <v>q7</v>
          </cell>
          <cell r="X39" t="str">
            <v xml:space="preserve">q7a1 q7a2 q7b1 q7b2 q7c1 q7c2 </v>
          </cell>
        </row>
        <row r="40">
          <cell r="V40" t="str">
            <v/>
          </cell>
          <cell r="W40" t="str">
            <v>q7</v>
          </cell>
          <cell r="X40" t="str">
            <v xml:space="preserve">q7a1 q7a2 q7b1 q7b2 q7c1 q7c2 q7d1 </v>
          </cell>
        </row>
        <row r="41">
          <cell r="V41" t="str">
            <v/>
          </cell>
          <cell r="W41" t="str">
            <v>q7</v>
          </cell>
          <cell r="X41" t="str">
            <v xml:space="preserve">q7a1 q7a2 q7b1 q7b2 q7c1 q7c2 q7d1 q7d2 </v>
          </cell>
        </row>
        <row r="42">
          <cell r="V42" t="str">
            <v/>
          </cell>
          <cell r="W42" t="str">
            <v>q7</v>
          </cell>
          <cell r="X42" t="str">
            <v xml:space="preserve">q7a1 q7a2 q7b1 q7b2 q7c1 q7c2 q7d1 q7d2 q7e1 </v>
          </cell>
        </row>
        <row r="43">
          <cell r="V43" t="str">
            <v/>
          </cell>
          <cell r="W43" t="str">
            <v>q7</v>
          </cell>
          <cell r="X43" t="str">
            <v xml:space="preserve">q7a1 q7a2 q7b1 q7b2 q7c1 q7c2 q7d1 q7d2 q7e1 q7e2 </v>
          </cell>
        </row>
        <row r="44">
          <cell r="V44" t="str">
            <v/>
          </cell>
          <cell r="W44" t="str">
            <v>q7</v>
          </cell>
          <cell r="X44" t="str">
            <v xml:space="preserve">q7a1 q7a2 q7b1 q7b2 q7c1 q7c2 q7d1 q7d2 q7e1 q7e2 q7h1 </v>
          </cell>
        </row>
        <row r="45">
          <cell r="V45" t="str">
            <v/>
          </cell>
          <cell r="W45" t="str">
            <v>q7</v>
          </cell>
          <cell r="X45" t="str">
            <v xml:space="preserve">q7a1 q7a2 q7b1 q7b2 q7c1 q7c2 q7d1 q7d2 q7e1 q7e2 q7h1 q7h2 </v>
          </cell>
        </row>
        <row r="46">
          <cell r="V46" t="str">
            <v/>
          </cell>
          <cell r="W46" t="str">
            <v>q7</v>
          </cell>
          <cell r="X46" t="str">
            <v xml:space="preserve">q7a1 q7a2 q7b1 q7b2 q7c1 q7c2 q7d1 q7d2 q7e1 q7e2 q7h1 q7h2 q7f1 </v>
          </cell>
        </row>
        <row r="47">
          <cell r="V47" t="str">
            <v/>
          </cell>
          <cell r="W47" t="str">
            <v>q7</v>
          </cell>
          <cell r="X47" t="str">
            <v xml:space="preserve">q7a1 q7a2 q7b1 q7b2 q7c1 q7c2 q7d1 q7d2 q7e1 q7e2 q7h1 q7h2 q7f1 q7f2 </v>
          </cell>
        </row>
        <row r="48">
          <cell r="V48" t="str">
            <v/>
          </cell>
          <cell r="W48" t="str">
            <v>q7</v>
          </cell>
          <cell r="X48" t="str">
            <v xml:space="preserve">q7a1 q7a2 q7b1 q7b2 q7c1 q7c2 q7d1 q7d2 q7e1 q7e2 q7h1 q7h2 q7f1 q7f2 q7g1 </v>
          </cell>
        </row>
        <row r="49">
          <cell r="V49" t="str">
            <v>q7</v>
          </cell>
          <cell r="W49" t="str">
            <v>q7</v>
          </cell>
          <cell r="X49" t="str">
            <v xml:space="preserve">q7a1 q7a2 q7b1 q7b2 q7c1 q7c2 q7d1 q7d2 q7e1 q7e2 q7h1 q7h2 q7f1 q7f2 q7g1 q7g2 </v>
          </cell>
        </row>
        <row r="50">
          <cell r="V50" t="str">
            <v/>
          </cell>
          <cell r="W50" t="str">
            <v>q8</v>
          </cell>
          <cell r="X50" t="str">
            <v xml:space="preserve">q81 </v>
          </cell>
        </row>
        <row r="51">
          <cell r="V51" t="str">
            <v>q8</v>
          </cell>
          <cell r="W51" t="str">
            <v>q8</v>
          </cell>
          <cell r="X51" t="str">
            <v xml:space="preserve">q81 q82 </v>
          </cell>
        </row>
        <row r="52">
          <cell r="V52" t="str">
            <v>q9</v>
          </cell>
          <cell r="W52" t="str">
            <v>q9</v>
          </cell>
          <cell r="X52" t="str">
            <v xml:space="preserve">q91 </v>
          </cell>
        </row>
        <row r="53">
          <cell r="V53" t="str">
            <v>q92</v>
          </cell>
          <cell r="W53" t="str">
            <v>q92</v>
          </cell>
          <cell r="X53" t="str">
            <v xml:space="preserve">q92 </v>
          </cell>
        </row>
        <row r="54">
          <cell r="V54" t="str">
            <v>q10</v>
          </cell>
          <cell r="W54" t="str">
            <v>q10</v>
          </cell>
          <cell r="X54" t="str">
            <v xml:space="preserve">q10 </v>
          </cell>
        </row>
        <row r="55">
          <cell r="V55" t="str">
            <v>reg</v>
          </cell>
          <cell r="W55" t="str">
            <v>reg</v>
          </cell>
          <cell r="X55" t="str">
            <v xml:space="preserve">regio </v>
          </cell>
        </row>
        <row r="56">
          <cell r="V56" t="str">
            <v/>
          </cell>
          <cell r="W56" t="str">
            <v/>
          </cell>
          <cell r="X56" t="str">
            <v xml:space="preserve"> </v>
          </cell>
        </row>
        <row r="57">
          <cell r="V57" t="str">
            <v/>
          </cell>
          <cell r="W57" t="str">
            <v/>
          </cell>
          <cell r="X57" t="str">
            <v xml:space="preserve">  </v>
          </cell>
        </row>
        <row r="58">
          <cell r="V58" t="str">
            <v/>
          </cell>
          <cell r="W58" t="str">
            <v/>
          </cell>
          <cell r="X58" t="str">
            <v xml:space="preserve">   </v>
          </cell>
        </row>
        <row r="59">
          <cell r="V59" t="str">
            <v/>
          </cell>
          <cell r="W59" t="str">
            <v/>
          </cell>
          <cell r="X59" t="str">
            <v xml:space="preserve">    </v>
          </cell>
        </row>
        <row r="60">
          <cell r="V60" t="str">
            <v/>
          </cell>
          <cell r="W60" t="str">
            <v/>
          </cell>
          <cell r="X60" t="str">
            <v xml:space="preserve">     </v>
          </cell>
        </row>
        <row r="61">
          <cell r="V61" t="str">
            <v/>
          </cell>
          <cell r="W61" t="str">
            <v/>
          </cell>
          <cell r="X61" t="str">
            <v xml:space="preserve">      </v>
          </cell>
        </row>
        <row r="62">
          <cell r="V62" t="str">
            <v/>
          </cell>
          <cell r="W62" t="str">
            <v/>
          </cell>
          <cell r="X62" t="str">
            <v xml:space="preserve">       </v>
          </cell>
        </row>
        <row r="63">
          <cell r="V63" t="str">
            <v/>
          </cell>
          <cell r="W63" t="str">
            <v/>
          </cell>
          <cell r="X63" t="str">
            <v xml:space="preserve">        </v>
          </cell>
        </row>
        <row r="64">
          <cell r="V64" t="str">
            <v/>
          </cell>
          <cell r="W64" t="str">
            <v/>
          </cell>
          <cell r="X64" t="str">
            <v xml:space="preserve">         </v>
          </cell>
        </row>
        <row r="65">
          <cell r="V65" t="str">
            <v/>
          </cell>
          <cell r="W65" t="str">
            <v/>
          </cell>
          <cell r="X65" t="str">
            <v xml:space="preserve">          </v>
          </cell>
        </row>
        <row r="66">
          <cell r="V66" t="str">
            <v/>
          </cell>
          <cell r="W66" t="str">
            <v/>
          </cell>
          <cell r="X66" t="str">
            <v xml:space="preserve">           </v>
          </cell>
        </row>
        <row r="67">
          <cell r="V67" t="str">
            <v/>
          </cell>
          <cell r="W67" t="str">
            <v/>
          </cell>
          <cell r="X67" t="str">
            <v xml:space="preserve">            </v>
          </cell>
        </row>
        <row r="68">
          <cell r="V68" t="str">
            <v/>
          </cell>
          <cell r="W68" t="str">
            <v/>
          </cell>
          <cell r="X68" t="str">
            <v xml:space="preserve">             </v>
          </cell>
        </row>
        <row r="69">
          <cell r="V69" t="str">
            <v/>
          </cell>
          <cell r="W69" t="str">
            <v/>
          </cell>
          <cell r="X69" t="str">
            <v xml:space="preserve">              </v>
          </cell>
        </row>
        <row r="70">
          <cell r="V70" t="str">
            <v/>
          </cell>
          <cell r="W70" t="str">
            <v/>
          </cell>
          <cell r="X70" t="str">
            <v xml:space="preserve">               </v>
          </cell>
        </row>
        <row r="71">
          <cell r="V71" t="str">
            <v/>
          </cell>
          <cell r="W71" t="str">
            <v/>
          </cell>
          <cell r="X71" t="str">
            <v xml:space="preserve">                </v>
          </cell>
        </row>
        <row r="72">
          <cell r="V72" t="str">
            <v/>
          </cell>
          <cell r="W72" t="str">
            <v/>
          </cell>
          <cell r="X72" t="str">
            <v xml:space="preserve">                 </v>
          </cell>
        </row>
        <row r="73">
          <cell r="V73" t="str">
            <v/>
          </cell>
          <cell r="W73" t="str">
            <v/>
          </cell>
          <cell r="X73" t="str">
            <v xml:space="preserve">                  </v>
          </cell>
        </row>
        <row r="74">
          <cell r="V74" t="str">
            <v/>
          </cell>
          <cell r="W74" t="str">
            <v/>
          </cell>
          <cell r="X74" t="str">
            <v xml:space="preserve">                   </v>
          </cell>
        </row>
        <row r="75">
          <cell r="V75" t="str">
            <v/>
          </cell>
          <cell r="W75" t="str">
            <v/>
          </cell>
          <cell r="X75" t="str">
            <v xml:space="preserve">                    </v>
          </cell>
        </row>
        <row r="76">
          <cell r="V76" t="str">
            <v/>
          </cell>
          <cell r="W76" t="str">
            <v/>
          </cell>
          <cell r="X76" t="str">
            <v xml:space="preserve">                     </v>
          </cell>
        </row>
        <row r="77">
          <cell r="V77" t="str">
            <v/>
          </cell>
          <cell r="W77" t="str">
            <v/>
          </cell>
          <cell r="X77" t="str">
            <v xml:space="preserve">                      </v>
          </cell>
        </row>
        <row r="78">
          <cell r="V78" t="str">
            <v/>
          </cell>
          <cell r="W78" t="str">
            <v/>
          </cell>
          <cell r="X78" t="str">
            <v xml:space="preserve">                       </v>
          </cell>
        </row>
        <row r="79">
          <cell r="V79" t="str">
            <v/>
          </cell>
          <cell r="W79" t="str">
            <v/>
          </cell>
          <cell r="X79" t="str">
            <v xml:space="preserve">                        </v>
          </cell>
        </row>
        <row r="80">
          <cell r="V80" t="str">
            <v/>
          </cell>
          <cell r="W80" t="str">
            <v/>
          </cell>
          <cell r="X80" t="str">
            <v xml:space="preserve">                         </v>
          </cell>
        </row>
        <row r="81">
          <cell r="V81" t="str">
            <v/>
          </cell>
          <cell r="W81" t="str">
            <v/>
          </cell>
          <cell r="X81" t="str">
            <v xml:space="preserve">                          </v>
          </cell>
        </row>
        <row r="82">
          <cell r="V82" t="str">
            <v/>
          </cell>
          <cell r="W82" t="str">
            <v/>
          </cell>
          <cell r="X82" t="str">
            <v xml:space="preserve">                           </v>
          </cell>
        </row>
        <row r="83">
          <cell r="V83" t="str">
            <v/>
          </cell>
          <cell r="W83" t="str">
            <v/>
          </cell>
          <cell r="X83" t="str">
            <v xml:space="preserve">                            </v>
          </cell>
        </row>
        <row r="84">
          <cell r="V84" t="str">
            <v/>
          </cell>
          <cell r="W84" t="str">
            <v/>
          </cell>
          <cell r="X84" t="str">
            <v xml:space="preserve">                             </v>
          </cell>
        </row>
        <row r="85">
          <cell r="V85" t="str">
            <v/>
          </cell>
          <cell r="W85" t="str">
            <v/>
          </cell>
          <cell r="X85" t="str">
            <v xml:space="preserve">                              </v>
          </cell>
        </row>
        <row r="86">
          <cell r="V86" t="str">
            <v/>
          </cell>
          <cell r="W86" t="str">
            <v/>
          </cell>
          <cell r="X86" t="str">
            <v xml:space="preserve">                               </v>
          </cell>
        </row>
        <row r="87">
          <cell r="V87" t="str">
            <v/>
          </cell>
          <cell r="W87" t="str">
            <v/>
          </cell>
          <cell r="X87" t="str">
            <v xml:space="preserve">                                </v>
          </cell>
        </row>
        <row r="88">
          <cell r="V88" t="str">
            <v/>
          </cell>
          <cell r="W88" t="str">
            <v/>
          </cell>
          <cell r="X88" t="str">
            <v xml:space="preserve">                                 </v>
          </cell>
        </row>
        <row r="89">
          <cell r="V89" t="str">
            <v/>
          </cell>
          <cell r="W89" t="str">
            <v/>
          </cell>
          <cell r="X89" t="str">
            <v xml:space="preserve">                                  </v>
          </cell>
        </row>
        <row r="90">
          <cell r="V90" t="str">
            <v/>
          </cell>
          <cell r="W90" t="str">
            <v/>
          </cell>
          <cell r="X90" t="str">
            <v xml:space="preserve">                                   </v>
          </cell>
        </row>
        <row r="91">
          <cell r="V91" t="str">
            <v/>
          </cell>
          <cell r="W91" t="str">
            <v/>
          </cell>
          <cell r="X91" t="str">
            <v xml:space="preserve">                                    </v>
          </cell>
        </row>
        <row r="92">
          <cell r="V92" t="str">
            <v/>
          </cell>
          <cell r="W92" t="str">
            <v/>
          </cell>
          <cell r="X92" t="str">
            <v xml:space="preserve">                                     </v>
          </cell>
        </row>
        <row r="93">
          <cell r="V93" t="str">
            <v/>
          </cell>
          <cell r="W93" t="str">
            <v/>
          </cell>
          <cell r="X93" t="str">
            <v xml:space="preserve">                                      </v>
          </cell>
        </row>
        <row r="94">
          <cell r="V94" t="str">
            <v/>
          </cell>
          <cell r="W94" t="str">
            <v/>
          </cell>
          <cell r="X94" t="str">
            <v xml:space="preserve">                                       </v>
          </cell>
        </row>
        <row r="95">
          <cell r="V95" t="str">
            <v/>
          </cell>
          <cell r="W95" t="str">
            <v/>
          </cell>
          <cell r="X95" t="str">
            <v xml:space="preserve">                                        </v>
          </cell>
        </row>
        <row r="96">
          <cell r="V96" t="str">
            <v/>
          </cell>
          <cell r="W96" t="str">
            <v/>
          </cell>
          <cell r="X96" t="str">
            <v xml:space="preserve">                                         </v>
          </cell>
        </row>
        <row r="97">
          <cell r="V97" t="str">
            <v/>
          </cell>
          <cell r="W97" t="str">
            <v/>
          </cell>
          <cell r="X97" t="str">
            <v xml:space="preserve">                                          </v>
          </cell>
        </row>
        <row r="98">
          <cell r="V98" t="str">
            <v/>
          </cell>
          <cell r="W98" t="str">
            <v/>
          </cell>
          <cell r="X98" t="str">
            <v xml:space="preserve">                                           </v>
          </cell>
        </row>
        <row r="99">
          <cell r="V99" t="str">
            <v/>
          </cell>
          <cell r="W99" t="str">
            <v/>
          </cell>
          <cell r="X99" t="str">
            <v xml:space="preserve">                                            </v>
          </cell>
        </row>
        <row r="100">
          <cell r="V100" t="str">
            <v/>
          </cell>
          <cell r="W100" t="str">
            <v/>
          </cell>
          <cell r="X100" t="str">
            <v xml:space="preserve">                                             </v>
          </cell>
        </row>
        <row r="101">
          <cell r="V101" t="str">
            <v/>
          </cell>
          <cell r="W101" t="str">
            <v/>
          </cell>
          <cell r="X101" t="str">
            <v xml:space="preserve">                                              </v>
          </cell>
        </row>
        <row r="102">
          <cell r="V102" t="str">
            <v/>
          </cell>
          <cell r="W102" t="str">
            <v/>
          </cell>
          <cell r="X102" t="str">
            <v xml:space="preserve">                                               </v>
          </cell>
        </row>
        <row r="103">
          <cell r="V103" t="str">
            <v/>
          </cell>
          <cell r="W103" t="str">
            <v/>
          </cell>
          <cell r="X103" t="str">
            <v xml:space="preserve">                                                </v>
          </cell>
        </row>
        <row r="104">
          <cell r="V104" t="str">
            <v/>
          </cell>
          <cell r="W104" t="str">
            <v/>
          </cell>
          <cell r="X104" t="str">
            <v xml:space="preserve">                                                 </v>
          </cell>
        </row>
        <row r="105">
          <cell r="V105" t="str">
            <v/>
          </cell>
          <cell r="W105" t="str">
            <v/>
          </cell>
          <cell r="X105" t="str">
            <v xml:space="preserve">                                                  </v>
          </cell>
        </row>
        <row r="106">
          <cell r="V106" t="str">
            <v/>
          </cell>
          <cell r="W106" t="str">
            <v/>
          </cell>
          <cell r="X106" t="str">
            <v xml:space="preserve">                                                   </v>
          </cell>
        </row>
        <row r="107">
          <cell r="V107" t="str">
            <v/>
          </cell>
          <cell r="W107" t="str">
            <v/>
          </cell>
          <cell r="X107" t="str">
            <v xml:space="preserve">                                                    </v>
          </cell>
        </row>
        <row r="108">
          <cell r="V108" t="str">
            <v/>
          </cell>
          <cell r="W108" t="str">
            <v/>
          </cell>
          <cell r="X108" t="str">
            <v xml:space="preserve">                                                     </v>
          </cell>
        </row>
        <row r="109">
          <cell r="V109" t="str">
            <v/>
          </cell>
          <cell r="W109" t="str">
            <v/>
          </cell>
          <cell r="X109" t="str">
            <v xml:space="preserve">                                                      </v>
          </cell>
        </row>
        <row r="110">
          <cell r="V110" t="str">
            <v/>
          </cell>
          <cell r="W110" t="str">
            <v/>
          </cell>
          <cell r="X110" t="str">
            <v xml:space="preserve">                                                       </v>
          </cell>
        </row>
        <row r="111">
          <cell r="V111" t="str">
            <v/>
          </cell>
          <cell r="W111" t="str">
            <v/>
          </cell>
          <cell r="X111" t="str">
            <v xml:space="preserve">                                                        </v>
          </cell>
        </row>
        <row r="112">
          <cell r="V112" t="str">
            <v/>
          </cell>
          <cell r="W112" t="str">
            <v/>
          </cell>
          <cell r="X112" t="str">
            <v xml:space="preserve">                                                         </v>
          </cell>
        </row>
        <row r="113">
          <cell r="V113" t="str">
            <v/>
          </cell>
          <cell r="W113" t="str">
            <v/>
          </cell>
          <cell r="X113" t="str">
            <v xml:space="preserve">                                                          </v>
          </cell>
        </row>
        <row r="114">
          <cell r="V114" t="str">
            <v/>
          </cell>
          <cell r="W114" t="str">
            <v/>
          </cell>
          <cell r="X114" t="str">
            <v xml:space="preserve">                                                           </v>
          </cell>
        </row>
        <row r="115">
          <cell r="V115" t="str">
            <v/>
          </cell>
          <cell r="W115" t="str">
            <v/>
          </cell>
          <cell r="X115" t="str">
            <v xml:space="preserve">                                                            </v>
          </cell>
        </row>
        <row r="116">
          <cell r="V116" t="str">
            <v/>
          </cell>
          <cell r="W116" t="str">
            <v/>
          </cell>
          <cell r="X116" t="str">
            <v xml:space="preserve">                                                             </v>
          </cell>
        </row>
        <row r="117">
          <cell r="V117" t="str">
            <v/>
          </cell>
          <cell r="W117" t="str">
            <v/>
          </cell>
          <cell r="X117" t="str">
            <v xml:space="preserve">                                                              </v>
          </cell>
        </row>
        <row r="118">
          <cell r="V118" t="str">
            <v/>
          </cell>
          <cell r="W118" t="str">
            <v/>
          </cell>
          <cell r="X118" t="str">
            <v xml:space="preserve">                                                               </v>
          </cell>
        </row>
        <row r="119">
          <cell r="V119" t="str">
            <v/>
          </cell>
          <cell r="W119" t="str">
            <v/>
          </cell>
          <cell r="X119" t="str">
            <v xml:space="preserve">                                                                </v>
          </cell>
        </row>
        <row r="120">
          <cell r="V120" t="str">
            <v/>
          </cell>
          <cell r="W120" t="str">
            <v/>
          </cell>
          <cell r="X120" t="str">
            <v xml:space="preserve">                                                                 </v>
          </cell>
        </row>
        <row r="121">
          <cell r="V121" t="str">
            <v/>
          </cell>
          <cell r="W121" t="str">
            <v/>
          </cell>
          <cell r="X121" t="str">
            <v xml:space="preserve">                                                                  </v>
          </cell>
        </row>
        <row r="122">
          <cell r="V122" t="str">
            <v/>
          </cell>
          <cell r="W122" t="str">
            <v/>
          </cell>
          <cell r="X122" t="str">
            <v xml:space="preserve">                                                                   </v>
          </cell>
        </row>
        <row r="123">
          <cell r="V123" t="str">
            <v/>
          </cell>
          <cell r="W123" t="str">
            <v/>
          </cell>
          <cell r="X123" t="str">
            <v xml:space="preserve">                                                                    </v>
          </cell>
        </row>
        <row r="124">
          <cell r="V124" t="str">
            <v/>
          </cell>
          <cell r="W124" t="str">
            <v/>
          </cell>
          <cell r="X124" t="str">
            <v xml:space="preserve">                                                                     </v>
          </cell>
        </row>
        <row r="125">
          <cell r="V125" t="str">
            <v/>
          </cell>
          <cell r="W125" t="str">
            <v/>
          </cell>
          <cell r="X125" t="str">
            <v xml:space="preserve">                                                                      </v>
          </cell>
        </row>
        <row r="126">
          <cell r="V126" t="str">
            <v/>
          </cell>
          <cell r="W126" t="str">
            <v/>
          </cell>
          <cell r="X126" t="str">
            <v xml:space="preserve">                                                                       </v>
          </cell>
        </row>
        <row r="127">
          <cell r="V127" t="str">
            <v/>
          </cell>
          <cell r="W127" t="str">
            <v/>
          </cell>
          <cell r="X127" t="str">
            <v xml:space="preserve">                                                                        </v>
          </cell>
        </row>
        <row r="128">
          <cell r="V128" t="str">
            <v/>
          </cell>
          <cell r="W128" t="str">
            <v/>
          </cell>
          <cell r="X128" t="str">
            <v xml:space="preserve">                                                                         </v>
          </cell>
        </row>
        <row r="129">
          <cell r="V129" t="str">
            <v/>
          </cell>
          <cell r="W129" t="str">
            <v/>
          </cell>
          <cell r="X129" t="str">
            <v xml:space="preserve">                                                                          </v>
          </cell>
        </row>
        <row r="130">
          <cell r="V130" t="str">
            <v/>
          </cell>
          <cell r="W130" t="str">
            <v/>
          </cell>
          <cell r="X130" t="str">
            <v xml:space="preserve">                                                                           </v>
          </cell>
        </row>
        <row r="131">
          <cell r="V131" t="str">
            <v/>
          </cell>
          <cell r="W131" t="str">
            <v/>
          </cell>
          <cell r="X131" t="str">
            <v xml:space="preserve">                                                                            </v>
          </cell>
        </row>
        <row r="132">
          <cell r="V132" t="str">
            <v/>
          </cell>
          <cell r="W132" t="str">
            <v/>
          </cell>
          <cell r="X132" t="str">
            <v xml:space="preserve">                                                                             </v>
          </cell>
        </row>
        <row r="133">
          <cell r="V133" t="str">
            <v/>
          </cell>
          <cell r="W133" t="str">
            <v/>
          </cell>
          <cell r="X133" t="str">
            <v xml:space="preserve">                                                                              </v>
          </cell>
        </row>
        <row r="134">
          <cell r="V134" t="str">
            <v/>
          </cell>
          <cell r="W134" t="str">
            <v/>
          </cell>
          <cell r="X134" t="str">
            <v xml:space="preserve">                                                                               </v>
          </cell>
        </row>
        <row r="135">
          <cell r="V135" t="str">
            <v/>
          </cell>
          <cell r="W135" t="str">
            <v/>
          </cell>
          <cell r="X135" t="str">
            <v xml:space="preserve">                                                                                </v>
          </cell>
        </row>
        <row r="136">
          <cell r="V136" t="str">
            <v/>
          </cell>
          <cell r="W136" t="str">
            <v/>
          </cell>
          <cell r="X136" t="str">
            <v xml:space="preserve">                                                                                 </v>
          </cell>
        </row>
        <row r="137">
          <cell r="V137" t="str">
            <v/>
          </cell>
          <cell r="W137" t="str">
            <v/>
          </cell>
          <cell r="X137" t="str">
            <v xml:space="preserve">                                                                                  </v>
          </cell>
        </row>
        <row r="138">
          <cell r="V138" t="str">
            <v/>
          </cell>
          <cell r="W138" t="str">
            <v/>
          </cell>
          <cell r="X138" t="str">
            <v xml:space="preserve">                                                                                   </v>
          </cell>
        </row>
        <row r="139">
          <cell r="V139" t="str">
            <v/>
          </cell>
          <cell r="W139" t="str">
            <v/>
          </cell>
          <cell r="X139" t="str">
            <v xml:space="preserve">                                                                                    </v>
          </cell>
        </row>
        <row r="140">
          <cell r="V140" t="str">
            <v/>
          </cell>
          <cell r="W140" t="str">
            <v/>
          </cell>
          <cell r="X140" t="str">
            <v xml:space="preserve">                                                                                     </v>
          </cell>
        </row>
        <row r="141">
          <cell r="V141" t="str">
            <v/>
          </cell>
          <cell r="W141" t="str">
            <v/>
          </cell>
          <cell r="X141" t="str">
            <v xml:space="preserve">                                                                                      </v>
          </cell>
        </row>
        <row r="142">
          <cell r="V142" t="str">
            <v/>
          </cell>
          <cell r="W142" t="str">
            <v/>
          </cell>
          <cell r="X142" t="str">
            <v xml:space="preserve">                                                                                       </v>
          </cell>
        </row>
        <row r="143">
          <cell r="V143" t="str">
            <v/>
          </cell>
          <cell r="W143" t="str">
            <v/>
          </cell>
          <cell r="X143" t="str">
            <v xml:space="preserve">                                                                                        </v>
          </cell>
        </row>
        <row r="144">
          <cell r="V144" t="str">
            <v/>
          </cell>
          <cell r="W144" t="str">
            <v/>
          </cell>
          <cell r="X144" t="str">
            <v xml:space="preserve">                                                                                         </v>
          </cell>
        </row>
        <row r="145">
          <cell r="V145" t="str">
            <v/>
          </cell>
          <cell r="W145" t="str">
            <v/>
          </cell>
          <cell r="X145" t="str">
            <v xml:space="preserve">                                                                                          </v>
          </cell>
        </row>
        <row r="146">
          <cell r="V146" t="str">
            <v/>
          </cell>
          <cell r="W146" t="str">
            <v/>
          </cell>
          <cell r="X146" t="str">
            <v xml:space="preserve">                                                                                           </v>
          </cell>
        </row>
        <row r="147">
          <cell r="V147" t="str">
            <v/>
          </cell>
          <cell r="W147" t="str">
            <v/>
          </cell>
          <cell r="X147" t="str">
            <v xml:space="preserve">                                                                                            </v>
          </cell>
        </row>
        <row r="148">
          <cell r="V148" t="str">
            <v/>
          </cell>
          <cell r="W148" t="str">
            <v/>
          </cell>
          <cell r="X148" t="str">
            <v xml:space="preserve">                                                                                             </v>
          </cell>
        </row>
        <row r="149">
          <cell r="V149" t="str">
            <v/>
          </cell>
          <cell r="W149" t="str">
            <v/>
          </cell>
          <cell r="X149" t="str">
            <v xml:space="preserve">                                                                                              </v>
          </cell>
        </row>
        <row r="150">
          <cell r="V150" t="str">
            <v/>
          </cell>
          <cell r="W150" t="str">
            <v/>
          </cell>
          <cell r="X150" t="str">
            <v xml:space="preserve">                                                                                               </v>
          </cell>
        </row>
        <row r="151">
          <cell r="V151" t="str">
            <v/>
          </cell>
          <cell r="W151" t="str">
            <v/>
          </cell>
          <cell r="X151" t="str">
            <v xml:space="preserve">                                                                                                </v>
          </cell>
        </row>
        <row r="152">
          <cell r="V152" t="str">
            <v/>
          </cell>
          <cell r="W152" t="str">
            <v/>
          </cell>
          <cell r="X152" t="str">
            <v xml:space="preserve">                                                                                                 </v>
          </cell>
        </row>
        <row r="153">
          <cell r="V153" t="str">
            <v/>
          </cell>
          <cell r="W153" t="str">
            <v/>
          </cell>
          <cell r="X153" t="str">
            <v xml:space="preserve">                                                                                                  </v>
          </cell>
        </row>
        <row r="154">
          <cell r="V154" t="str">
            <v/>
          </cell>
          <cell r="W154" t="str">
            <v/>
          </cell>
          <cell r="X154" t="str">
            <v xml:space="preserve">                                                                                                   </v>
          </cell>
        </row>
        <row r="155">
          <cell r="V155" t="str">
            <v/>
          </cell>
          <cell r="W155" t="str">
            <v/>
          </cell>
          <cell r="X155" t="str">
            <v xml:space="preserve">                                                                                                    </v>
          </cell>
        </row>
        <row r="156">
          <cell r="V156" t="str">
            <v/>
          </cell>
          <cell r="W156" t="str">
            <v/>
          </cell>
          <cell r="X156" t="str">
            <v xml:space="preserve">                                                                                                     </v>
          </cell>
        </row>
        <row r="157">
          <cell r="V157" t="str">
            <v/>
          </cell>
          <cell r="W157" t="str">
            <v/>
          </cell>
          <cell r="X157" t="str">
            <v xml:space="preserve">                                                                                                      </v>
          </cell>
        </row>
        <row r="158">
          <cell r="V158" t="str">
            <v/>
          </cell>
          <cell r="W158" t="str">
            <v/>
          </cell>
          <cell r="X158" t="str">
            <v xml:space="preserve">                                                                                                       </v>
          </cell>
        </row>
        <row r="159">
          <cell r="V159" t="str">
            <v/>
          </cell>
          <cell r="W159" t="str">
            <v/>
          </cell>
          <cell r="X159" t="str">
            <v xml:space="preserve">                                                                                                        </v>
          </cell>
        </row>
        <row r="160">
          <cell r="V160" t="str">
            <v/>
          </cell>
          <cell r="W160" t="str">
            <v/>
          </cell>
          <cell r="X160" t="str">
            <v xml:space="preserve">                                                                                                         </v>
          </cell>
        </row>
        <row r="161">
          <cell r="V161" t="str">
            <v/>
          </cell>
          <cell r="W161" t="str">
            <v/>
          </cell>
          <cell r="X161" t="str">
            <v xml:space="preserve">                                                                                                          </v>
          </cell>
        </row>
        <row r="162">
          <cell r="V162" t="str">
            <v/>
          </cell>
          <cell r="W162" t="str">
            <v/>
          </cell>
          <cell r="X162" t="str">
            <v xml:space="preserve">                                                                                                           </v>
          </cell>
        </row>
        <row r="163">
          <cell r="V163" t="str">
            <v/>
          </cell>
          <cell r="W163" t="str">
            <v/>
          </cell>
          <cell r="X163" t="str">
            <v xml:space="preserve">                                                                                                            </v>
          </cell>
        </row>
        <row r="164">
          <cell r="V164" t="str">
            <v/>
          </cell>
          <cell r="W164" t="str">
            <v/>
          </cell>
          <cell r="X164" t="str">
            <v xml:space="preserve">                                                                                                             </v>
          </cell>
        </row>
        <row r="165">
          <cell r="V165" t="str">
            <v/>
          </cell>
          <cell r="W165" t="str">
            <v/>
          </cell>
          <cell r="X165" t="str">
            <v xml:space="preserve">                                                                                                              </v>
          </cell>
        </row>
        <row r="166">
          <cell r="V166" t="str">
            <v/>
          </cell>
          <cell r="W166" t="str">
            <v/>
          </cell>
          <cell r="X166" t="str">
            <v xml:space="preserve">                                                                                                               </v>
          </cell>
        </row>
        <row r="167">
          <cell r="V167" t="str">
            <v/>
          </cell>
          <cell r="W167" t="str">
            <v/>
          </cell>
          <cell r="X167" t="str">
            <v xml:space="preserve">                                                                                                                </v>
          </cell>
        </row>
        <row r="168">
          <cell r="V168" t="str">
            <v/>
          </cell>
          <cell r="W168" t="str">
            <v/>
          </cell>
          <cell r="X168" t="str">
            <v xml:space="preserve">                                                                                                                 </v>
          </cell>
        </row>
        <row r="169">
          <cell r="V169" t="str">
            <v/>
          </cell>
          <cell r="W169" t="str">
            <v/>
          </cell>
          <cell r="X169" t="str">
            <v xml:space="preserve">                                                                                                                  </v>
          </cell>
        </row>
        <row r="170">
          <cell r="V170" t="str">
            <v/>
          </cell>
          <cell r="W170" t="str">
            <v/>
          </cell>
          <cell r="X170" t="str">
            <v xml:space="preserve">                                                                                                                   </v>
          </cell>
        </row>
        <row r="171">
          <cell r="V171" t="str">
            <v/>
          </cell>
          <cell r="W171" t="str">
            <v/>
          </cell>
          <cell r="X171" t="str">
            <v xml:space="preserve">                                                                                                                    </v>
          </cell>
        </row>
        <row r="172">
          <cell r="V172" t="str">
            <v/>
          </cell>
          <cell r="W172" t="str">
            <v/>
          </cell>
          <cell r="X172" t="str">
            <v xml:space="preserve">                                                                                                                     </v>
          </cell>
        </row>
        <row r="173">
          <cell r="V173" t="str">
            <v/>
          </cell>
          <cell r="W173" t="str">
            <v/>
          </cell>
          <cell r="X173" t="str">
            <v xml:space="preserve">                                                                                                                      </v>
          </cell>
        </row>
        <row r="174">
          <cell r="V174" t="str">
            <v/>
          </cell>
          <cell r="W174" t="str">
            <v/>
          </cell>
          <cell r="X174" t="str">
            <v xml:space="preserve">                                                                                                                       </v>
          </cell>
        </row>
        <row r="175">
          <cell r="V175" t="str">
            <v/>
          </cell>
          <cell r="W175" t="str">
            <v/>
          </cell>
          <cell r="X175" t="str">
            <v xml:space="preserve">                                                                                                                        </v>
          </cell>
        </row>
        <row r="176">
          <cell r="V176" t="str">
            <v/>
          </cell>
          <cell r="W176" t="str">
            <v/>
          </cell>
          <cell r="X176" t="str">
            <v xml:space="preserve">                                                                                                                         </v>
          </cell>
        </row>
        <row r="177">
          <cell r="V177" t="str">
            <v/>
          </cell>
          <cell r="W177" t="str">
            <v/>
          </cell>
          <cell r="X177" t="str">
            <v xml:space="preserve">                                                                                                                          </v>
          </cell>
        </row>
        <row r="178">
          <cell r="V178" t="str">
            <v/>
          </cell>
          <cell r="W178" t="str">
            <v/>
          </cell>
          <cell r="X178" t="str">
            <v xml:space="preserve">                                                                                                                           </v>
          </cell>
        </row>
        <row r="179">
          <cell r="V179" t="str">
            <v/>
          </cell>
          <cell r="W179" t="str">
            <v/>
          </cell>
          <cell r="X179" t="str">
            <v xml:space="preserve">                                                                                                                            </v>
          </cell>
        </row>
        <row r="180">
          <cell r="V180" t="str">
            <v/>
          </cell>
          <cell r="W180" t="str">
            <v/>
          </cell>
          <cell r="X180" t="str">
            <v xml:space="preserve">                                                                                                                             </v>
          </cell>
        </row>
        <row r="181">
          <cell r="V181" t="str">
            <v/>
          </cell>
          <cell r="W181" t="str">
            <v/>
          </cell>
          <cell r="X181" t="str">
            <v xml:space="preserve">                                                                                                                              </v>
          </cell>
        </row>
        <row r="182">
          <cell r="V182" t="str">
            <v/>
          </cell>
          <cell r="W182" t="str">
            <v/>
          </cell>
          <cell r="X182" t="str">
            <v xml:space="preserve">                                                                                                                               </v>
          </cell>
        </row>
        <row r="183">
          <cell r="V183" t="str">
            <v/>
          </cell>
          <cell r="W183" t="str">
            <v/>
          </cell>
          <cell r="X183" t="str">
            <v xml:space="preserve">                                                                                                                                </v>
          </cell>
        </row>
        <row r="184">
          <cell r="V184" t="str">
            <v/>
          </cell>
          <cell r="W184" t="str">
            <v/>
          </cell>
          <cell r="X184" t="str">
            <v xml:space="preserve">                                                                                                                                 </v>
          </cell>
        </row>
        <row r="185">
          <cell r="V185" t="str">
            <v/>
          </cell>
          <cell r="W185" t="str">
            <v/>
          </cell>
          <cell r="X185" t="str">
            <v xml:space="preserve">                                                                                                                                  </v>
          </cell>
        </row>
        <row r="186">
          <cell r="V186" t="str">
            <v/>
          </cell>
          <cell r="W186" t="str">
            <v/>
          </cell>
          <cell r="X186" t="str">
            <v xml:space="preserve">                                                                                                                                   </v>
          </cell>
        </row>
        <row r="187">
          <cell r="V187" t="str">
            <v/>
          </cell>
          <cell r="W187" t="str">
            <v/>
          </cell>
          <cell r="X187" t="str">
            <v xml:space="preserve">                                                                                                                                    </v>
          </cell>
        </row>
        <row r="188">
          <cell r="V188" t="str">
            <v/>
          </cell>
          <cell r="W188" t="str">
            <v/>
          </cell>
          <cell r="X188" t="str">
            <v xml:space="preserve">                                                                                                                                     </v>
          </cell>
        </row>
        <row r="189">
          <cell r="V189" t="str">
            <v/>
          </cell>
          <cell r="W189" t="str">
            <v/>
          </cell>
          <cell r="X189" t="str">
            <v xml:space="preserve">                                                                                                                                      </v>
          </cell>
        </row>
        <row r="190">
          <cell r="V190" t="str">
            <v/>
          </cell>
          <cell r="W190" t="str">
            <v/>
          </cell>
          <cell r="X190" t="str">
            <v xml:space="preserve">                                                                                                                                       </v>
          </cell>
        </row>
        <row r="191">
          <cell r="V191" t="str">
            <v/>
          </cell>
          <cell r="W191" t="str">
            <v/>
          </cell>
          <cell r="X191" t="str">
            <v xml:space="preserve">                                                                                                                                        </v>
          </cell>
        </row>
        <row r="192">
          <cell r="V192" t="str">
            <v/>
          </cell>
          <cell r="W192" t="str">
            <v/>
          </cell>
          <cell r="X192" t="str">
            <v xml:space="preserve">                                                                                                                                         </v>
          </cell>
        </row>
        <row r="193">
          <cell r="V193" t="str">
            <v/>
          </cell>
          <cell r="W193" t="str">
            <v/>
          </cell>
          <cell r="X193" t="str">
            <v xml:space="preserve">                                                                                                                                          </v>
          </cell>
        </row>
        <row r="194">
          <cell r="V194" t="str">
            <v/>
          </cell>
          <cell r="W194" t="str">
            <v/>
          </cell>
          <cell r="X194" t="str">
            <v xml:space="preserve">                                                                                                                                           </v>
          </cell>
        </row>
        <row r="195">
          <cell r="V195" t="str">
            <v/>
          </cell>
          <cell r="W195" t="str">
            <v/>
          </cell>
          <cell r="X195" t="str">
            <v xml:space="preserve">                                                                                                                                            </v>
          </cell>
        </row>
        <row r="196">
          <cell r="V196" t="str">
            <v/>
          </cell>
          <cell r="W196" t="str">
            <v/>
          </cell>
          <cell r="X196" t="str">
            <v xml:space="preserve">                                                                                                                                             </v>
          </cell>
        </row>
        <row r="197">
          <cell r="V197" t="str">
            <v/>
          </cell>
          <cell r="W197" t="str">
            <v/>
          </cell>
          <cell r="X197" t="str">
            <v xml:space="preserve">                                                                                                                                              </v>
          </cell>
        </row>
        <row r="198">
          <cell r="V198" t="str">
            <v/>
          </cell>
          <cell r="W198" t="str">
            <v/>
          </cell>
          <cell r="X198" t="str">
            <v xml:space="preserve">                                                                                                                                               </v>
          </cell>
        </row>
        <row r="199">
          <cell r="V199" t="str">
            <v/>
          </cell>
          <cell r="W199" t="str">
            <v/>
          </cell>
          <cell r="X199" t="str">
            <v xml:space="preserve">                                                                                                                                                </v>
          </cell>
        </row>
        <row r="200">
          <cell r="V200" t="str">
            <v/>
          </cell>
          <cell r="W200" t="str">
            <v/>
          </cell>
          <cell r="X200" t="str">
            <v xml:space="preserve">                                                                                                                                                 </v>
          </cell>
        </row>
        <row r="201">
          <cell r="V201" t="str">
            <v/>
          </cell>
          <cell r="W201" t="str">
            <v/>
          </cell>
          <cell r="X201" t="str">
            <v xml:space="preserve">                                                                                                                                                  </v>
          </cell>
        </row>
        <row r="202">
          <cell r="V202" t="str">
            <v/>
          </cell>
          <cell r="W202" t="str">
            <v/>
          </cell>
          <cell r="X202" t="str">
            <v xml:space="preserve">                                                                                                                                                   </v>
          </cell>
        </row>
        <row r="203">
          <cell r="V203" t="str">
            <v/>
          </cell>
          <cell r="W203" t="str">
            <v/>
          </cell>
          <cell r="X203" t="str">
            <v xml:space="preserve">                                                                                                                                                    </v>
          </cell>
        </row>
        <row r="204">
          <cell r="V204" t="str">
            <v/>
          </cell>
          <cell r="W204" t="str">
            <v/>
          </cell>
          <cell r="X204" t="str">
            <v xml:space="preserve">                                                                                                                                                     </v>
          </cell>
        </row>
        <row r="205">
          <cell r="V205" t="str">
            <v/>
          </cell>
          <cell r="W205" t="str">
            <v/>
          </cell>
          <cell r="X205" t="str">
            <v xml:space="preserve">                                                                                                                                                      </v>
          </cell>
        </row>
        <row r="206">
          <cell r="V206" t="str">
            <v/>
          </cell>
          <cell r="W206" t="str">
            <v/>
          </cell>
          <cell r="X206" t="str">
            <v xml:space="preserve">                                                                                                                                                       </v>
          </cell>
        </row>
        <row r="207">
          <cell r="V207" t="str">
            <v/>
          </cell>
          <cell r="W207" t="str">
            <v/>
          </cell>
          <cell r="X207" t="str">
            <v xml:space="preserve">                                                                                                                                                        </v>
          </cell>
        </row>
        <row r="208">
          <cell r="V208" t="str">
            <v/>
          </cell>
          <cell r="W208" t="str">
            <v/>
          </cell>
          <cell r="X208" t="str">
            <v xml:space="preserve">                                                                                                                                                         </v>
          </cell>
        </row>
        <row r="209">
          <cell r="V209" t="str">
            <v/>
          </cell>
          <cell r="W209" t="str">
            <v/>
          </cell>
          <cell r="X209" t="str">
            <v xml:space="preserve">                                                                                                                                                          </v>
          </cell>
        </row>
        <row r="210">
          <cell r="V210" t="str">
            <v/>
          </cell>
          <cell r="W210" t="str">
            <v/>
          </cell>
          <cell r="X210" t="str">
            <v xml:space="preserve">                                                                                                                                                           </v>
          </cell>
        </row>
        <row r="211">
          <cell r="V211" t="str">
            <v/>
          </cell>
          <cell r="W211" t="str">
            <v/>
          </cell>
          <cell r="X211" t="str">
            <v xml:space="preserve">                                                                                                                                                            </v>
          </cell>
        </row>
        <row r="212">
          <cell r="V212" t="str">
            <v/>
          </cell>
          <cell r="W212" t="str">
            <v/>
          </cell>
          <cell r="X212" t="str">
            <v xml:space="preserve">                                                                                                                                                             </v>
          </cell>
        </row>
        <row r="213">
          <cell r="V213" t="str">
            <v/>
          </cell>
          <cell r="W213" t="str">
            <v/>
          </cell>
          <cell r="X213" t="str">
            <v xml:space="preserve">                                                                                                                                                              </v>
          </cell>
        </row>
        <row r="214">
          <cell r="V214" t="str">
            <v/>
          </cell>
          <cell r="W214" t="str">
            <v/>
          </cell>
          <cell r="X214" t="str">
            <v xml:space="preserve">                                                                                                                                                               </v>
          </cell>
        </row>
        <row r="215">
          <cell r="V215" t="str">
            <v/>
          </cell>
          <cell r="W215" t="str">
            <v/>
          </cell>
          <cell r="X215" t="str">
            <v xml:space="preserve">                                                                                                                                                                </v>
          </cell>
        </row>
        <row r="216">
          <cell r="V216" t="str">
            <v/>
          </cell>
          <cell r="W216" t="str">
            <v/>
          </cell>
          <cell r="X216" t="str">
            <v xml:space="preserve">                                                                                                                                                                 </v>
          </cell>
        </row>
        <row r="217">
          <cell r="V217" t="str">
            <v/>
          </cell>
          <cell r="W217" t="str">
            <v/>
          </cell>
          <cell r="X217" t="str">
            <v xml:space="preserve">                                                                                                                                                                  </v>
          </cell>
        </row>
        <row r="218">
          <cell r="V218" t="str">
            <v/>
          </cell>
          <cell r="W218" t="str">
            <v/>
          </cell>
          <cell r="X218" t="str">
            <v xml:space="preserve">                                                                                                                                                                   </v>
          </cell>
        </row>
        <row r="219">
          <cell r="V219" t="str">
            <v/>
          </cell>
          <cell r="W219" t="str">
            <v/>
          </cell>
          <cell r="X219" t="str">
            <v xml:space="preserve">                                                                                                                                                                    </v>
          </cell>
        </row>
        <row r="220">
          <cell r="V220" t="str">
            <v/>
          </cell>
          <cell r="W220" t="str">
            <v/>
          </cell>
          <cell r="X220" t="str">
            <v xml:space="preserve">                                                                                                                                                                     </v>
          </cell>
        </row>
        <row r="221">
          <cell r="V221" t="str">
            <v/>
          </cell>
          <cell r="W221" t="str">
            <v/>
          </cell>
          <cell r="X221" t="str">
            <v xml:space="preserve">                                                                                                                                                                      </v>
          </cell>
        </row>
        <row r="222">
          <cell r="V222" t="str">
            <v/>
          </cell>
          <cell r="W222" t="str">
            <v/>
          </cell>
          <cell r="X222" t="str">
            <v xml:space="preserve">                                                                                                                                                                       </v>
          </cell>
        </row>
        <row r="223">
          <cell r="V223" t="str">
            <v/>
          </cell>
          <cell r="W223" t="str">
            <v/>
          </cell>
          <cell r="X223" t="str">
            <v xml:space="preserve">                                                                                                                                                                        </v>
          </cell>
        </row>
        <row r="224">
          <cell r="V224" t="str">
            <v/>
          </cell>
          <cell r="W224" t="str">
            <v/>
          </cell>
          <cell r="X224" t="str">
            <v xml:space="preserve">                                                                                                                                                                         </v>
          </cell>
        </row>
        <row r="225">
          <cell r="V225" t="str">
            <v/>
          </cell>
          <cell r="W225" t="str">
            <v/>
          </cell>
          <cell r="X225" t="str">
            <v xml:space="preserve">                                                                                                                                                                          </v>
          </cell>
        </row>
        <row r="226">
          <cell r="V226" t="str">
            <v/>
          </cell>
          <cell r="W226" t="str">
            <v/>
          </cell>
          <cell r="X226" t="str">
            <v xml:space="preserve">                                                                                                                                                                           </v>
          </cell>
        </row>
        <row r="227">
          <cell r="V227" t="str">
            <v/>
          </cell>
          <cell r="W227" t="str">
            <v/>
          </cell>
          <cell r="X227" t="str">
            <v xml:space="preserve">                                                                                                                                                                            </v>
          </cell>
        </row>
        <row r="228">
          <cell r="V228" t="str">
            <v/>
          </cell>
          <cell r="W228" t="str">
            <v/>
          </cell>
          <cell r="X228" t="str">
            <v xml:space="preserve">                                                                                                                                                                             </v>
          </cell>
        </row>
        <row r="229">
          <cell r="V229" t="str">
            <v/>
          </cell>
          <cell r="W229" t="str">
            <v/>
          </cell>
          <cell r="X229" t="str">
            <v xml:space="preserve">                                                                                                                                                                              </v>
          </cell>
        </row>
        <row r="230">
          <cell r="V230" t="str">
            <v/>
          </cell>
          <cell r="W230" t="str">
            <v/>
          </cell>
          <cell r="X230" t="str">
            <v xml:space="preserve">                                                                                                                                                                               </v>
          </cell>
        </row>
        <row r="231">
          <cell r="V231" t="str">
            <v/>
          </cell>
          <cell r="W231" t="str">
            <v/>
          </cell>
          <cell r="X231" t="str">
            <v xml:space="preserve">                                                                                                                                                                                </v>
          </cell>
        </row>
        <row r="232">
          <cell r="V232" t="str">
            <v/>
          </cell>
          <cell r="W232" t="str">
            <v/>
          </cell>
          <cell r="X232" t="str">
            <v xml:space="preserve">                                                                                                                                                                                 </v>
          </cell>
        </row>
        <row r="233">
          <cell r="V233" t="str">
            <v/>
          </cell>
          <cell r="W233" t="str">
            <v/>
          </cell>
          <cell r="X233" t="str">
            <v xml:space="preserve">                                                                                                                                                                                  </v>
          </cell>
        </row>
        <row r="234">
          <cell r="V234" t="str">
            <v/>
          </cell>
          <cell r="W234" t="str">
            <v/>
          </cell>
          <cell r="X234" t="str">
            <v xml:space="preserve">                                                                                                                                                                                   </v>
          </cell>
        </row>
        <row r="235">
          <cell r="V235" t="str">
            <v/>
          </cell>
          <cell r="W235" t="str">
            <v/>
          </cell>
          <cell r="X235" t="str">
            <v xml:space="preserve">                                                                                                                                                                                    </v>
          </cell>
        </row>
        <row r="236">
          <cell r="V236" t="str">
            <v/>
          </cell>
          <cell r="W236" t="str">
            <v/>
          </cell>
          <cell r="X236" t="str">
            <v xml:space="preserve">                                                                                                                                                                                     </v>
          </cell>
        </row>
        <row r="237">
          <cell r="V237" t="str">
            <v/>
          </cell>
          <cell r="W237" t="str">
            <v/>
          </cell>
          <cell r="X237" t="str">
            <v xml:space="preserve">                                                                                                                                                                                      </v>
          </cell>
        </row>
        <row r="238">
          <cell r="V238" t="str">
            <v/>
          </cell>
          <cell r="W238" t="str">
            <v/>
          </cell>
          <cell r="X238" t="str">
            <v xml:space="preserve">                                                                                                                                                                                       </v>
          </cell>
        </row>
        <row r="239">
          <cell r="V239" t="str">
            <v/>
          </cell>
          <cell r="W239" t="str">
            <v/>
          </cell>
          <cell r="X239" t="str">
            <v xml:space="preserve">                                                                                                                                                                                        </v>
          </cell>
        </row>
        <row r="240">
          <cell r="V240" t="str">
            <v/>
          </cell>
          <cell r="W240" t="str">
            <v/>
          </cell>
          <cell r="X240" t="str">
            <v xml:space="preserve">                                                                                                                                                                                         </v>
          </cell>
        </row>
        <row r="241">
          <cell r="V241" t="str">
            <v/>
          </cell>
          <cell r="W241" t="str">
            <v/>
          </cell>
          <cell r="X241" t="str">
            <v xml:space="preserve">                                                                                                                                                                                          </v>
          </cell>
        </row>
        <row r="242">
          <cell r="V242" t="str">
            <v/>
          </cell>
          <cell r="W242" t="str">
            <v/>
          </cell>
          <cell r="X242" t="str">
            <v xml:space="preserve">                                                                                                                                                                                           </v>
          </cell>
        </row>
        <row r="243">
          <cell r="V243" t="str">
            <v/>
          </cell>
          <cell r="W243" t="str">
            <v/>
          </cell>
          <cell r="X243" t="str">
            <v xml:space="preserve">                                                                                                                                                                                            </v>
          </cell>
        </row>
        <row r="244">
          <cell r="V244" t="str">
            <v/>
          </cell>
          <cell r="W244" t="str">
            <v/>
          </cell>
          <cell r="X244" t="str">
            <v xml:space="preserve">                                                                                                                                                                                             </v>
          </cell>
        </row>
        <row r="245">
          <cell r="V245" t="str">
            <v/>
          </cell>
          <cell r="W245" t="str">
            <v/>
          </cell>
          <cell r="X245" t="str">
            <v xml:space="preserve">                                                                                                                                                                                              </v>
          </cell>
        </row>
        <row r="246">
          <cell r="V246" t="str">
            <v/>
          </cell>
          <cell r="W246" t="str">
            <v/>
          </cell>
          <cell r="X246" t="str">
            <v xml:space="preserve">                                                                                                                                                                                               </v>
          </cell>
        </row>
        <row r="247">
          <cell r="V247" t="str">
            <v/>
          </cell>
          <cell r="W247" t="str">
            <v/>
          </cell>
          <cell r="X247" t="str">
            <v xml:space="preserve">                                                                                                                                                                                                </v>
          </cell>
        </row>
        <row r="248">
          <cell r="V248" t="str">
            <v/>
          </cell>
          <cell r="W248" t="str">
            <v/>
          </cell>
          <cell r="X248" t="str">
            <v xml:space="preserve">                                                                                                                                                                                                 </v>
          </cell>
        </row>
        <row r="249">
          <cell r="V249" t="str">
            <v/>
          </cell>
          <cell r="W249" t="str">
            <v/>
          </cell>
          <cell r="X249" t="str">
            <v xml:space="preserve">                                                                                                                                                                                                  </v>
          </cell>
        </row>
        <row r="250">
          <cell r="V250" t="str">
            <v/>
          </cell>
          <cell r="W250" t="str">
            <v/>
          </cell>
          <cell r="X250" t="str">
            <v xml:space="preserve">                                                                                                                                                                                                   </v>
          </cell>
        </row>
        <row r="251">
          <cell r="V251" t="str">
            <v/>
          </cell>
          <cell r="W251" t="str">
            <v/>
          </cell>
          <cell r="X251" t="str">
            <v xml:space="preserve">                                                                                                                                                                                                    </v>
          </cell>
        </row>
        <row r="252">
          <cell r="V252" t="str">
            <v/>
          </cell>
          <cell r="W252" t="str">
            <v/>
          </cell>
          <cell r="X252" t="str">
            <v xml:space="preserve">                                                                                                                                                                                                     </v>
          </cell>
        </row>
        <row r="253">
          <cell r="V253" t="str">
            <v/>
          </cell>
          <cell r="W253" t="str">
            <v/>
          </cell>
          <cell r="X253" t="str">
            <v xml:space="preserve">                                                                                                                                                                                                      </v>
          </cell>
        </row>
        <row r="254">
          <cell r="V254" t="str">
            <v/>
          </cell>
          <cell r="W254" t="str">
            <v/>
          </cell>
          <cell r="X254" t="str">
            <v xml:space="preserve">                                                                                                                                                                                                       </v>
          </cell>
        </row>
        <row r="255">
          <cell r="V255" t="str">
            <v/>
          </cell>
          <cell r="W255" t="str">
            <v/>
          </cell>
          <cell r="X255" t="str">
            <v xml:space="preserve">                                                                                                                                                                                                        </v>
          </cell>
        </row>
        <row r="256">
          <cell r="V256" t="str">
            <v/>
          </cell>
          <cell r="W256" t="str">
            <v/>
          </cell>
          <cell r="X256" t="str">
            <v xml:space="preserve">                                                                                                                                                                                                         </v>
          </cell>
        </row>
        <row r="257">
          <cell r="V257" t="str">
            <v/>
          </cell>
          <cell r="W257" t="str">
            <v/>
          </cell>
          <cell r="X257" t="str">
            <v xml:space="preserve">                                                                                                                                                                                                          </v>
          </cell>
        </row>
        <row r="258">
          <cell r="V258" t="str">
            <v/>
          </cell>
          <cell r="W258" t="str">
            <v/>
          </cell>
          <cell r="X258" t="str">
            <v xml:space="preserve">                                                                                                                                                                                                           </v>
          </cell>
        </row>
        <row r="259">
          <cell r="V259" t="str">
            <v/>
          </cell>
          <cell r="W259" t="str">
            <v/>
          </cell>
          <cell r="X259" t="str">
            <v xml:space="preserve">                                                                                                                                                                                                            </v>
          </cell>
        </row>
        <row r="260">
          <cell r="V260" t="str">
            <v/>
          </cell>
          <cell r="W260" t="str">
            <v/>
          </cell>
          <cell r="X260" t="str">
            <v xml:space="preserve">                                                                                                                                                                                                             </v>
          </cell>
        </row>
        <row r="261">
          <cell r="V261" t="str">
            <v/>
          </cell>
          <cell r="W261" t="str">
            <v/>
          </cell>
          <cell r="X261" t="str">
            <v xml:space="preserve">                                                                                                                                                                                                              </v>
          </cell>
        </row>
        <row r="262">
          <cell r="V262" t="str">
            <v/>
          </cell>
          <cell r="W262" t="str">
            <v/>
          </cell>
          <cell r="X262" t="str">
            <v xml:space="preserve">                                                                                                                                                                                                               </v>
          </cell>
        </row>
        <row r="263">
          <cell r="V263" t="str">
            <v/>
          </cell>
          <cell r="W263" t="str">
            <v/>
          </cell>
          <cell r="X263" t="str">
            <v xml:space="preserve">                                                                                                                                                                                                                </v>
          </cell>
        </row>
        <row r="264">
          <cell r="V264" t="str">
            <v/>
          </cell>
          <cell r="W264" t="str">
            <v/>
          </cell>
          <cell r="X264" t="str">
            <v xml:space="preserve">                                                                                                                                                                                                                 </v>
          </cell>
        </row>
        <row r="265">
          <cell r="V265" t="str">
            <v/>
          </cell>
          <cell r="W265" t="str">
            <v/>
          </cell>
          <cell r="X265" t="str">
            <v xml:space="preserve">                                                                                                                                                                                                                  </v>
          </cell>
        </row>
        <row r="266">
          <cell r="V266" t="str">
            <v/>
          </cell>
          <cell r="W266" t="str">
            <v/>
          </cell>
          <cell r="X266" t="str">
            <v xml:space="preserve">                                                                                                                                                                                                                   </v>
          </cell>
        </row>
        <row r="267">
          <cell r="V267" t="str">
            <v/>
          </cell>
          <cell r="W267" t="str">
            <v/>
          </cell>
          <cell r="X267" t="str">
            <v xml:space="preserve">                                                                                                                                                                                                                    </v>
          </cell>
        </row>
        <row r="268">
          <cell r="V268" t="str">
            <v/>
          </cell>
          <cell r="W268" t="str">
            <v/>
          </cell>
          <cell r="X268" t="str">
            <v xml:space="preserve">                                                                                                                                                                                                                     </v>
          </cell>
        </row>
        <row r="269">
          <cell r="V269" t="str">
            <v/>
          </cell>
          <cell r="W269" t="str">
            <v/>
          </cell>
          <cell r="X269" t="str">
            <v xml:space="preserve">                                                                                                                                                                                                                      </v>
          </cell>
        </row>
        <row r="270">
          <cell r="V270" t="str">
            <v/>
          </cell>
          <cell r="W270" t="str">
            <v/>
          </cell>
          <cell r="X270" t="str">
            <v xml:space="preserve">                                                                                                                                                                                                                       </v>
          </cell>
        </row>
        <row r="271">
          <cell r="V271" t="str">
            <v/>
          </cell>
          <cell r="W271" t="str">
            <v/>
          </cell>
          <cell r="X271" t="str">
            <v xml:space="preserve">                                                                                                                                                                                                                        </v>
          </cell>
        </row>
        <row r="272">
          <cell r="V272" t="str">
            <v/>
          </cell>
          <cell r="W272" t="str">
            <v/>
          </cell>
          <cell r="X272" t="str">
            <v xml:space="preserve">                                                                                                                                                                                                                         </v>
          </cell>
        </row>
        <row r="273">
          <cell r="V273" t="str">
            <v/>
          </cell>
          <cell r="W273" t="str">
            <v/>
          </cell>
          <cell r="X273" t="str">
            <v xml:space="preserve">                                                                                                                                                                                                                          </v>
          </cell>
        </row>
        <row r="274">
          <cell r="V274" t="str">
            <v/>
          </cell>
          <cell r="W274" t="str">
            <v/>
          </cell>
          <cell r="X274" t="str">
            <v xml:space="preserve">                                                                                                                                                                                                                           </v>
          </cell>
        </row>
        <row r="275">
          <cell r="V275" t="str">
            <v/>
          </cell>
          <cell r="W275" t="str">
            <v/>
          </cell>
          <cell r="X275" t="str">
            <v xml:space="preserve">                                                                                                                                                                                                                            </v>
          </cell>
        </row>
        <row r="276">
          <cell r="V276" t="str">
            <v/>
          </cell>
          <cell r="W276" t="str">
            <v/>
          </cell>
          <cell r="X276" t="str">
            <v xml:space="preserve">                                                                                                                                                                                                                             </v>
          </cell>
        </row>
        <row r="277">
          <cell r="V277" t="str">
            <v/>
          </cell>
          <cell r="W277" t="str">
            <v/>
          </cell>
          <cell r="X277" t="str">
            <v xml:space="preserve">                                                                                                                                                                                                                              </v>
          </cell>
        </row>
        <row r="278">
          <cell r="V278" t="str">
            <v/>
          </cell>
          <cell r="W278" t="str">
            <v/>
          </cell>
          <cell r="X278" t="str">
            <v xml:space="preserve">                                                                                                                                                                                                                               </v>
          </cell>
        </row>
        <row r="279">
          <cell r="V279" t="str">
            <v/>
          </cell>
          <cell r="W279" t="str">
            <v/>
          </cell>
          <cell r="X279" t="str">
            <v xml:space="preserve">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0">
          <cell r="V280" t="str">
            <v/>
          </cell>
          <cell r="W280" t="str">
            <v/>
          </cell>
          <cell r="X280" t="str">
            <v xml:space="preserve">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1">
          <cell r="V281" t="str">
            <v/>
          </cell>
          <cell r="W281" t="str">
            <v/>
          </cell>
          <cell r="X281" t="str">
            <v xml:space="preserve">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2">
          <cell r="V282" t="str">
            <v/>
          </cell>
          <cell r="W282" t="str">
            <v/>
          </cell>
          <cell r="X282" t="str">
            <v xml:space="preserve">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3">
          <cell r="V283" t="str">
            <v/>
          </cell>
          <cell r="W283" t="str">
            <v/>
          </cell>
          <cell r="X283" t="str">
            <v xml:space="preserve">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4">
          <cell r="V284" t="str">
            <v/>
          </cell>
          <cell r="W284" t="str">
            <v/>
          </cell>
          <cell r="X284" t="str">
            <v xml:space="preserve">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5">
          <cell r="V285" t="str">
            <v/>
          </cell>
          <cell r="W285" t="str">
            <v/>
          </cell>
          <cell r="X285" t="str">
            <v xml:space="preserve">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6">
          <cell r="V286" t="str">
            <v/>
          </cell>
          <cell r="W286" t="str">
            <v/>
          </cell>
          <cell r="X2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7">
          <cell r="V287" t="str">
            <v/>
          </cell>
          <cell r="W287" t="str">
            <v/>
          </cell>
          <cell r="X2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8">
          <cell r="V288" t="str">
            <v/>
          </cell>
          <cell r="W288" t="str">
            <v/>
          </cell>
          <cell r="X2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89">
          <cell r="V289" t="str">
            <v/>
          </cell>
          <cell r="W289" t="str">
            <v/>
          </cell>
          <cell r="X2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0">
          <cell r="V290" t="str">
            <v/>
          </cell>
          <cell r="W290" t="str">
            <v/>
          </cell>
          <cell r="X2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1">
          <cell r="V291" t="str">
            <v/>
          </cell>
          <cell r="W291" t="str">
            <v/>
          </cell>
          <cell r="X2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2">
          <cell r="V292" t="str">
            <v/>
          </cell>
          <cell r="W292" t="str">
            <v/>
          </cell>
          <cell r="X2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3">
          <cell r="V293" t="str">
            <v/>
          </cell>
          <cell r="W293" t="str">
            <v/>
          </cell>
          <cell r="X2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4">
          <cell r="V294" t="str">
            <v/>
          </cell>
          <cell r="W294" t="str">
            <v/>
          </cell>
          <cell r="X2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5">
          <cell r="V295" t="str">
            <v/>
          </cell>
          <cell r="W295" t="str">
            <v/>
          </cell>
          <cell r="X2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6">
          <cell r="V296" t="str">
            <v/>
          </cell>
          <cell r="W296" t="str">
            <v/>
          </cell>
          <cell r="X2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7">
          <cell r="V297" t="str">
            <v/>
          </cell>
          <cell r="W297" t="str">
            <v/>
          </cell>
          <cell r="X2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8">
          <cell r="V298" t="str">
            <v/>
          </cell>
          <cell r="W298" t="str">
            <v/>
          </cell>
          <cell r="X2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299">
          <cell r="V299" t="str">
            <v/>
          </cell>
          <cell r="W299" t="str">
            <v/>
          </cell>
          <cell r="X2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0">
          <cell r="V300" t="str">
            <v/>
          </cell>
          <cell r="W300" t="str">
            <v/>
          </cell>
          <cell r="X3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1">
          <cell r="V301" t="str">
            <v/>
          </cell>
          <cell r="W301" t="str">
            <v/>
          </cell>
          <cell r="X3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2">
          <cell r="V302" t="str">
            <v/>
          </cell>
          <cell r="W302" t="str">
            <v/>
          </cell>
          <cell r="X3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3">
          <cell r="V303" t="str">
            <v/>
          </cell>
          <cell r="W303" t="str">
            <v/>
          </cell>
          <cell r="X3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4">
          <cell r="V304" t="str">
            <v/>
          </cell>
          <cell r="W304" t="str">
            <v/>
          </cell>
          <cell r="X3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5">
          <cell r="V305" t="str">
            <v/>
          </cell>
          <cell r="W305" t="str">
            <v/>
          </cell>
          <cell r="X3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6">
          <cell r="V306" t="str">
            <v/>
          </cell>
          <cell r="W306" t="str">
            <v/>
          </cell>
          <cell r="X3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7">
          <cell r="V307" t="str">
            <v/>
          </cell>
          <cell r="W307" t="str">
            <v/>
          </cell>
          <cell r="X3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8">
          <cell r="V308" t="str">
            <v/>
          </cell>
          <cell r="W308" t="str">
            <v/>
          </cell>
          <cell r="X3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09">
          <cell r="V309" t="str">
            <v/>
          </cell>
          <cell r="W309" t="str">
            <v/>
          </cell>
          <cell r="X3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0">
          <cell r="V310" t="str">
            <v/>
          </cell>
          <cell r="W310" t="str">
            <v/>
          </cell>
          <cell r="X3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1">
          <cell r="V311" t="str">
            <v/>
          </cell>
          <cell r="W311" t="str">
            <v/>
          </cell>
          <cell r="X3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2">
          <cell r="V312" t="str">
            <v/>
          </cell>
          <cell r="W312" t="str">
            <v/>
          </cell>
          <cell r="X3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3">
          <cell r="V313" t="str">
            <v/>
          </cell>
          <cell r="W313" t="str">
            <v/>
          </cell>
          <cell r="X3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4">
          <cell r="V314" t="str">
            <v/>
          </cell>
          <cell r="W314" t="str">
            <v/>
          </cell>
          <cell r="X3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5">
          <cell r="V315" t="str">
            <v/>
          </cell>
          <cell r="W315" t="str">
            <v/>
          </cell>
          <cell r="X3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6">
          <cell r="V316" t="str">
            <v/>
          </cell>
          <cell r="W316" t="str">
            <v/>
          </cell>
          <cell r="X3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7">
          <cell r="V317" t="str">
            <v/>
          </cell>
          <cell r="W317" t="str">
            <v/>
          </cell>
          <cell r="X3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8">
          <cell r="V318" t="str">
            <v/>
          </cell>
          <cell r="W318" t="str">
            <v/>
          </cell>
          <cell r="X3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19">
          <cell r="V319" t="str">
            <v/>
          </cell>
          <cell r="W319" t="str">
            <v/>
          </cell>
          <cell r="X3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0">
          <cell r="V320" t="str">
            <v/>
          </cell>
          <cell r="W320" t="str">
            <v/>
          </cell>
          <cell r="X3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1">
          <cell r="V321" t="str">
            <v/>
          </cell>
          <cell r="W321" t="str">
            <v/>
          </cell>
          <cell r="X3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2">
          <cell r="V322" t="str">
            <v/>
          </cell>
          <cell r="W322" t="str">
            <v/>
          </cell>
          <cell r="X3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3">
          <cell r="V323" t="str">
            <v/>
          </cell>
          <cell r="W323" t="str">
            <v/>
          </cell>
          <cell r="X3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4">
          <cell r="V324" t="str">
            <v/>
          </cell>
          <cell r="W324" t="str">
            <v/>
          </cell>
          <cell r="X3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5">
          <cell r="V325" t="str">
            <v/>
          </cell>
          <cell r="W325" t="str">
            <v/>
          </cell>
          <cell r="X3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6">
          <cell r="V326" t="str">
            <v/>
          </cell>
          <cell r="W326" t="str">
            <v/>
          </cell>
          <cell r="X3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7">
          <cell r="V327" t="str">
            <v/>
          </cell>
          <cell r="W327" t="str">
            <v/>
          </cell>
          <cell r="X3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8">
          <cell r="V328" t="str">
            <v/>
          </cell>
          <cell r="W328" t="str">
            <v/>
          </cell>
          <cell r="X3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29">
          <cell r="V329" t="str">
            <v/>
          </cell>
          <cell r="W329" t="str">
            <v/>
          </cell>
          <cell r="X3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0">
          <cell r="V330" t="str">
            <v/>
          </cell>
          <cell r="W330" t="str">
            <v/>
          </cell>
          <cell r="X3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1">
          <cell r="V331" t="str">
            <v/>
          </cell>
          <cell r="W331" t="str">
            <v/>
          </cell>
          <cell r="X3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2">
          <cell r="V332" t="str">
            <v/>
          </cell>
          <cell r="W332" t="str">
            <v/>
          </cell>
          <cell r="X3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3">
          <cell r="V333" t="str">
            <v/>
          </cell>
          <cell r="W333" t="str">
            <v/>
          </cell>
          <cell r="X3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4">
          <cell r="V334" t="str">
            <v/>
          </cell>
          <cell r="W334" t="str">
            <v/>
          </cell>
          <cell r="X3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5">
          <cell r="V335" t="str">
            <v/>
          </cell>
          <cell r="W335" t="str">
            <v/>
          </cell>
          <cell r="X3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6">
          <cell r="V336" t="str">
            <v/>
          </cell>
          <cell r="W336" t="str">
            <v/>
          </cell>
          <cell r="X3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7">
          <cell r="V337" t="str">
            <v/>
          </cell>
          <cell r="W337" t="str">
            <v/>
          </cell>
          <cell r="X3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8">
          <cell r="V338" t="str">
            <v/>
          </cell>
          <cell r="W338" t="str">
            <v/>
          </cell>
          <cell r="X3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39">
          <cell r="V339" t="str">
            <v/>
          </cell>
          <cell r="W339" t="str">
            <v/>
          </cell>
          <cell r="X3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0">
          <cell r="V340" t="str">
            <v/>
          </cell>
          <cell r="W340" t="str">
            <v/>
          </cell>
          <cell r="X3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1">
          <cell r="V341" t="str">
            <v/>
          </cell>
          <cell r="W341" t="str">
            <v/>
          </cell>
          <cell r="X3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2">
          <cell r="V342" t="str">
            <v/>
          </cell>
          <cell r="W342" t="str">
            <v/>
          </cell>
          <cell r="X3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3">
          <cell r="V343" t="str">
            <v/>
          </cell>
          <cell r="W343" t="str">
            <v/>
          </cell>
          <cell r="X3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4">
          <cell r="V344" t="str">
            <v/>
          </cell>
          <cell r="W344" t="str">
            <v/>
          </cell>
          <cell r="X3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5">
          <cell r="V345" t="str">
            <v/>
          </cell>
          <cell r="W345" t="str">
            <v/>
          </cell>
          <cell r="X3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6">
          <cell r="V346" t="str">
            <v/>
          </cell>
          <cell r="W346" t="str">
            <v/>
          </cell>
          <cell r="X3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7">
          <cell r="V347" t="str">
            <v/>
          </cell>
          <cell r="W347" t="str">
            <v/>
          </cell>
          <cell r="X3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8">
          <cell r="V348" t="str">
            <v/>
          </cell>
          <cell r="W348" t="str">
            <v/>
          </cell>
          <cell r="X3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9">
          <cell r="V349" t="str">
            <v/>
          </cell>
          <cell r="W349" t="str">
            <v/>
          </cell>
          <cell r="X3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0">
          <cell r="V350" t="str">
            <v/>
          </cell>
          <cell r="W350" t="str">
            <v/>
          </cell>
          <cell r="X3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1">
          <cell r="V351" t="str">
            <v/>
          </cell>
          <cell r="W351" t="str">
            <v/>
          </cell>
          <cell r="X3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2">
          <cell r="V352" t="str">
            <v/>
          </cell>
          <cell r="W352" t="str">
            <v/>
          </cell>
          <cell r="X3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3">
          <cell r="V353" t="str">
            <v/>
          </cell>
          <cell r="W353" t="str">
            <v/>
          </cell>
          <cell r="X3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4">
          <cell r="V354" t="str">
            <v/>
          </cell>
          <cell r="W354" t="str">
            <v/>
          </cell>
          <cell r="X3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5">
          <cell r="V355" t="str">
            <v/>
          </cell>
          <cell r="W355" t="str">
            <v/>
          </cell>
          <cell r="X3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6">
          <cell r="V356" t="str">
            <v/>
          </cell>
          <cell r="W356" t="str">
            <v/>
          </cell>
          <cell r="X3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7">
          <cell r="V357" t="str">
            <v/>
          </cell>
          <cell r="W357" t="str">
            <v/>
          </cell>
          <cell r="X3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8">
          <cell r="V358" t="str">
            <v/>
          </cell>
          <cell r="W358" t="str">
            <v/>
          </cell>
          <cell r="X3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59">
          <cell r="V359" t="str">
            <v/>
          </cell>
          <cell r="W359" t="str">
            <v/>
          </cell>
          <cell r="X3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0">
          <cell r="V360" t="str">
            <v/>
          </cell>
          <cell r="W360" t="str">
            <v/>
          </cell>
          <cell r="X3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1">
          <cell r="V361" t="str">
            <v/>
          </cell>
          <cell r="W361" t="str">
            <v/>
          </cell>
          <cell r="X3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2">
          <cell r="V362" t="str">
            <v/>
          </cell>
          <cell r="W362" t="str">
            <v/>
          </cell>
          <cell r="X3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3">
          <cell r="V363" t="str">
            <v/>
          </cell>
          <cell r="W363" t="str">
            <v/>
          </cell>
          <cell r="X3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4">
          <cell r="V364" t="str">
            <v/>
          </cell>
          <cell r="W364" t="str">
            <v/>
          </cell>
          <cell r="X3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5">
          <cell r="V365" t="str">
            <v/>
          </cell>
          <cell r="W365" t="str">
            <v/>
          </cell>
          <cell r="X3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6">
          <cell r="V366" t="str">
            <v/>
          </cell>
          <cell r="W366" t="str">
            <v/>
          </cell>
          <cell r="X3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7">
          <cell r="V367" t="str">
            <v/>
          </cell>
          <cell r="W367" t="str">
            <v/>
          </cell>
          <cell r="X3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8">
          <cell r="V368" t="str">
            <v/>
          </cell>
          <cell r="W368" t="str">
            <v/>
          </cell>
          <cell r="X3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69">
          <cell r="V369" t="str">
            <v/>
          </cell>
          <cell r="W369" t="str">
            <v/>
          </cell>
          <cell r="X3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0">
          <cell r="V370" t="str">
            <v/>
          </cell>
          <cell r="W370" t="str">
            <v/>
          </cell>
          <cell r="X3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1">
          <cell r="V371" t="str">
            <v/>
          </cell>
          <cell r="W371" t="str">
            <v/>
          </cell>
          <cell r="X3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2">
          <cell r="V372" t="str">
            <v/>
          </cell>
          <cell r="W372" t="str">
            <v/>
          </cell>
          <cell r="X3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3">
          <cell r="V373" t="str">
            <v/>
          </cell>
          <cell r="W373" t="str">
            <v/>
          </cell>
          <cell r="X3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4">
          <cell r="V374" t="str">
            <v/>
          </cell>
          <cell r="W374" t="str">
            <v/>
          </cell>
          <cell r="X3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5">
          <cell r="V375" t="str">
            <v/>
          </cell>
          <cell r="W375" t="str">
            <v/>
          </cell>
          <cell r="X3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6">
          <cell r="V376" t="str">
            <v/>
          </cell>
          <cell r="W376" t="str">
            <v/>
          </cell>
          <cell r="X3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7">
          <cell r="V377" t="str">
            <v/>
          </cell>
          <cell r="W377" t="str">
            <v/>
          </cell>
          <cell r="X3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8">
          <cell r="V378" t="str">
            <v/>
          </cell>
          <cell r="W378" t="str">
            <v/>
          </cell>
          <cell r="X3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79">
          <cell r="V379" t="str">
            <v/>
          </cell>
          <cell r="W379" t="str">
            <v/>
          </cell>
          <cell r="X3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0">
          <cell r="V380" t="str">
            <v/>
          </cell>
          <cell r="W380" t="str">
            <v/>
          </cell>
          <cell r="X3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1">
          <cell r="V381" t="str">
            <v/>
          </cell>
          <cell r="W381" t="str">
            <v/>
          </cell>
          <cell r="X3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2">
          <cell r="V382" t="str">
            <v/>
          </cell>
          <cell r="W382" t="str">
            <v/>
          </cell>
          <cell r="X3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3">
          <cell r="V383" t="str">
            <v/>
          </cell>
          <cell r="W383" t="str">
            <v/>
          </cell>
          <cell r="X3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4">
          <cell r="V384" t="str">
            <v/>
          </cell>
          <cell r="W384" t="str">
            <v/>
          </cell>
          <cell r="X3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5">
          <cell r="V385" t="str">
            <v/>
          </cell>
          <cell r="W385" t="str">
            <v/>
          </cell>
          <cell r="X3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6">
          <cell r="V386" t="str">
            <v/>
          </cell>
          <cell r="W386" t="str">
            <v/>
          </cell>
          <cell r="X3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7">
          <cell r="V387" t="str">
            <v/>
          </cell>
          <cell r="W387" t="str">
            <v/>
          </cell>
          <cell r="X3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8">
          <cell r="V388" t="str">
            <v/>
          </cell>
          <cell r="W388" t="str">
            <v/>
          </cell>
          <cell r="X3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89">
          <cell r="V389" t="str">
            <v/>
          </cell>
          <cell r="W389" t="str">
            <v/>
          </cell>
          <cell r="X3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0">
          <cell r="V390" t="str">
            <v/>
          </cell>
          <cell r="W390" t="str">
            <v/>
          </cell>
          <cell r="X3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1">
          <cell r="V391" t="str">
            <v/>
          </cell>
          <cell r="W391" t="str">
            <v/>
          </cell>
          <cell r="X3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2">
          <cell r="V392" t="str">
            <v/>
          </cell>
          <cell r="W392" t="str">
            <v/>
          </cell>
          <cell r="X3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3">
          <cell r="V393" t="str">
            <v/>
          </cell>
          <cell r="W393" t="str">
            <v/>
          </cell>
          <cell r="X3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4">
          <cell r="V394" t="str">
            <v/>
          </cell>
          <cell r="W394" t="str">
            <v/>
          </cell>
          <cell r="X3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5">
          <cell r="V395" t="str">
            <v/>
          </cell>
          <cell r="W395" t="str">
            <v/>
          </cell>
          <cell r="X3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6">
          <cell r="V396" t="str">
            <v/>
          </cell>
          <cell r="W396" t="str">
            <v/>
          </cell>
          <cell r="X3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7">
          <cell r="V397" t="str">
            <v/>
          </cell>
          <cell r="W397" t="str">
            <v/>
          </cell>
          <cell r="X3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8">
          <cell r="V398" t="str">
            <v/>
          </cell>
          <cell r="W398" t="str">
            <v/>
          </cell>
          <cell r="X3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99">
          <cell r="V399" t="str">
            <v/>
          </cell>
          <cell r="W399" t="str">
            <v/>
          </cell>
          <cell r="X3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0">
          <cell r="V400" t="str">
            <v/>
          </cell>
          <cell r="W400" t="str">
            <v/>
          </cell>
          <cell r="X4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1">
          <cell r="V401" t="str">
            <v/>
          </cell>
          <cell r="W401" t="str">
            <v/>
          </cell>
          <cell r="X4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2">
          <cell r="V402" t="str">
            <v/>
          </cell>
          <cell r="W402" t="str">
            <v/>
          </cell>
          <cell r="X4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3">
          <cell r="V403" t="str">
            <v/>
          </cell>
          <cell r="W403" t="str">
            <v/>
          </cell>
          <cell r="X4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4">
          <cell r="V404" t="str">
            <v/>
          </cell>
          <cell r="W404" t="str">
            <v/>
          </cell>
          <cell r="X4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5">
          <cell r="V405" t="str">
            <v/>
          </cell>
          <cell r="W405" t="str">
            <v/>
          </cell>
          <cell r="X4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6">
          <cell r="V406" t="str">
            <v/>
          </cell>
          <cell r="W406" t="str">
            <v/>
          </cell>
          <cell r="X4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7">
          <cell r="V407" t="str">
            <v/>
          </cell>
          <cell r="W407" t="str">
            <v/>
          </cell>
          <cell r="X4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8">
          <cell r="V408" t="str">
            <v/>
          </cell>
          <cell r="W408" t="str">
            <v/>
          </cell>
          <cell r="X4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09">
          <cell r="V409" t="str">
            <v/>
          </cell>
          <cell r="W409" t="str">
            <v/>
          </cell>
          <cell r="X4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0">
          <cell r="V410" t="str">
            <v/>
          </cell>
          <cell r="W410" t="str">
            <v/>
          </cell>
          <cell r="X4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1">
          <cell r="V411" t="str">
            <v/>
          </cell>
          <cell r="W411" t="str">
            <v/>
          </cell>
          <cell r="X4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2">
          <cell r="V412" t="str">
            <v/>
          </cell>
          <cell r="W412" t="str">
            <v/>
          </cell>
          <cell r="X4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3">
          <cell r="V413" t="str">
            <v/>
          </cell>
          <cell r="W413" t="str">
            <v/>
          </cell>
          <cell r="X4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4">
          <cell r="V414" t="str">
            <v/>
          </cell>
          <cell r="W414" t="str">
            <v/>
          </cell>
          <cell r="X4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5">
          <cell r="V415" t="str">
            <v/>
          </cell>
          <cell r="W415" t="str">
            <v/>
          </cell>
          <cell r="X4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6">
          <cell r="V416" t="str">
            <v/>
          </cell>
          <cell r="W416" t="str">
            <v/>
          </cell>
          <cell r="X4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7">
          <cell r="V417" t="str">
            <v/>
          </cell>
          <cell r="W417" t="str">
            <v/>
          </cell>
          <cell r="X4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8">
          <cell r="V418" t="str">
            <v/>
          </cell>
          <cell r="W418" t="str">
            <v/>
          </cell>
          <cell r="X4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19">
          <cell r="V419" t="str">
            <v/>
          </cell>
          <cell r="W419" t="str">
            <v/>
          </cell>
          <cell r="X4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0">
          <cell r="V420" t="str">
            <v/>
          </cell>
          <cell r="W420" t="str">
            <v/>
          </cell>
          <cell r="X4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1">
          <cell r="V421" t="str">
            <v/>
          </cell>
          <cell r="W421" t="str">
            <v/>
          </cell>
          <cell r="X4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2">
          <cell r="V422" t="str">
            <v/>
          </cell>
          <cell r="W422" t="str">
            <v/>
          </cell>
          <cell r="X4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3">
          <cell r="V423" t="str">
            <v/>
          </cell>
          <cell r="W423" t="str">
            <v/>
          </cell>
          <cell r="X4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4">
          <cell r="V424" t="str">
            <v/>
          </cell>
          <cell r="W424" t="str">
            <v/>
          </cell>
          <cell r="X4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5">
          <cell r="V425" t="str">
            <v/>
          </cell>
          <cell r="W425" t="str">
            <v/>
          </cell>
          <cell r="X4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6">
          <cell r="V426" t="str">
            <v/>
          </cell>
          <cell r="W426" t="str">
            <v/>
          </cell>
          <cell r="X4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7">
          <cell r="V427" t="str">
            <v/>
          </cell>
          <cell r="W427" t="str">
            <v/>
          </cell>
          <cell r="X4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8">
          <cell r="V428" t="str">
            <v/>
          </cell>
          <cell r="W428" t="str">
            <v/>
          </cell>
          <cell r="X4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29">
          <cell r="V429" t="str">
            <v/>
          </cell>
          <cell r="W429" t="str">
            <v/>
          </cell>
          <cell r="X4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0">
          <cell r="V430" t="str">
            <v/>
          </cell>
          <cell r="W430" t="str">
            <v/>
          </cell>
          <cell r="X4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1">
          <cell r="V431" t="str">
            <v/>
          </cell>
          <cell r="W431" t="str">
            <v/>
          </cell>
          <cell r="X4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2">
          <cell r="V432" t="str">
            <v/>
          </cell>
          <cell r="W432" t="str">
            <v/>
          </cell>
          <cell r="X4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3">
          <cell r="V433" t="str">
            <v/>
          </cell>
          <cell r="W433" t="str">
            <v/>
          </cell>
          <cell r="X4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4">
          <cell r="V434" t="str">
            <v/>
          </cell>
          <cell r="W434" t="str">
            <v/>
          </cell>
          <cell r="X4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5">
          <cell r="V435" t="str">
            <v/>
          </cell>
          <cell r="W435" t="str">
            <v/>
          </cell>
          <cell r="X4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6">
          <cell r="V436" t="str">
            <v/>
          </cell>
          <cell r="W436" t="str">
            <v/>
          </cell>
          <cell r="X4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7">
          <cell r="V437" t="str">
            <v/>
          </cell>
          <cell r="W437" t="str">
            <v/>
          </cell>
          <cell r="X4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8">
          <cell r="V438" t="str">
            <v/>
          </cell>
          <cell r="W438" t="str">
            <v/>
          </cell>
          <cell r="X4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39">
          <cell r="V439" t="str">
            <v/>
          </cell>
          <cell r="W439" t="str">
            <v/>
          </cell>
          <cell r="X4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0">
          <cell r="V440" t="str">
            <v/>
          </cell>
          <cell r="W440" t="str">
            <v/>
          </cell>
          <cell r="X4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1">
          <cell r="V441" t="str">
            <v/>
          </cell>
          <cell r="W441" t="str">
            <v/>
          </cell>
          <cell r="X4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2">
          <cell r="V442" t="str">
            <v/>
          </cell>
          <cell r="W442" t="str">
            <v/>
          </cell>
          <cell r="X4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3">
          <cell r="V443" t="str">
            <v/>
          </cell>
          <cell r="W443" t="str">
            <v/>
          </cell>
          <cell r="X4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4">
          <cell r="V444" t="str">
            <v/>
          </cell>
          <cell r="W444" t="str">
            <v/>
          </cell>
          <cell r="X4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5">
          <cell r="V445" t="str">
            <v/>
          </cell>
          <cell r="W445" t="str">
            <v/>
          </cell>
          <cell r="X4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6">
          <cell r="V446" t="str">
            <v/>
          </cell>
          <cell r="W446" t="str">
            <v/>
          </cell>
          <cell r="X4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7">
          <cell r="V447" t="str">
            <v/>
          </cell>
          <cell r="W447" t="str">
            <v/>
          </cell>
          <cell r="X4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8">
          <cell r="V448" t="str">
            <v/>
          </cell>
          <cell r="W448" t="str">
            <v/>
          </cell>
          <cell r="X4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49">
          <cell r="V449" t="str">
            <v/>
          </cell>
          <cell r="W449" t="str">
            <v/>
          </cell>
          <cell r="X4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0">
          <cell r="V450" t="str">
            <v/>
          </cell>
          <cell r="W450" t="str">
            <v/>
          </cell>
          <cell r="X4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1">
          <cell r="V451" t="str">
            <v/>
          </cell>
          <cell r="W451" t="str">
            <v/>
          </cell>
          <cell r="X4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2">
          <cell r="V452" t="str">
            <v/>
          </cell>
          <cell r="W452" t="str">
            <v/>
          </cell>
          <cell r="X4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3">
          <cell r="V453" t="str">
            <v/>
          </cell>
          <cell r="W453" t="str">
            <v/>
          </cell>
          <cell r="X4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4">
          <cell r="V454" t="str">
            <v/>
          </cell>
          <cell r="W454" t="str">
            <v/>
          </cell>
          <cell r="X4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5">
          <cell r="V455" t="str">
            <v/>
          </cell>
          <cell r="W455" t="str">
            <v/>
          </cell>
          <cell r="X4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6">
          <cell r="V456" t="str">
            <v/>
          </cell>
          <cell r="W456" t="str">
            <v/>
          </cell>
          <cell r="X4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7">
          <cell r="V457" t="str">
            <v/>
          </cell>
          <cell r="W457" t="str">
            <v/>
          </cell>
          <cell r="X4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8">
          <cell r="V458" t="str">
            <v/>
          </cell>
          <cell r="W458" t="str">
            <v/>
          </cell>
          <cell r="X4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59">
          <cell r="V459" t="str">
            <v/>
          </cell>
          <cell r="W459" t="str">
            <v/>
          </cell>
          <cell r="X4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0">
          <cell r="V460" t="str">
            <v/>
          </cell>
          <cell r="W460" t="str">
            <v/>
          </cell>
          <cell r="X4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1">
          <cell r="V461" t="str">
            <v/>
          </cell>
          <cell r="W461" t="str">
            <v/>
          </cell>
          <cell r="X4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2">
          <cell r="V462" t="str">
            <v/>
          </cell>
          <cell r="W462" t="str">
            <v/>
          </cell>
          <cell r="X4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3">
          <cell r="V463" t="str">
            <v/>
          </cell>
          <cell r="W463" t="str">
            <v/>
          </cell>
          <cell r="X4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4">
          <cell r="V464" t="str">
            <v/>
          </cell>
          <cell r="W464" t="str">
            <v/>
          </cell>
          <cell r="X4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5">
          <cell r="V465" t="str">
            <v/>
          </cell>
          <cell r="W465" t="str">
            <v/>
          </cell>
          <cell r="X4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6">
          <cell r="V466" t="str">
            <v/>
          </cell>
          <cell r="W466" t="str">
            <v/>
          </cell>
          <cell r="X4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7">
          <cell r="V467" t="str">
            <v/>
          </cell>
          <cell r="W467" t="str">
            <v/>
          </cell>
          <cell r="X4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8">
          <cell r="V468" t="str">
            <v/>
          </cell>
          <cell r="W468" t="str">
            <v/>
          </cell>
          <cell r="X4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69">
          <cell r="V469" t="str">
            <v/>
          </cell>
          <cell r="W469" t="str">
            <v/>
          </cell>
          <cell r="X4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0">
          <cell r="V470" t="str">
            <v/>
          </cell>
          <cell r="W470" t="str">
            <v/>
          </cell>
          <cell r="X4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1">
          <cell r="V471" t="str">
            <v/>
          </cell>
          <cell r="W471" t="str">
            <v/>
          </cell>
          <cell r="X4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2">
          <cell r="V472" t="str">
            <v/>
          </cell>
          <cell r="W472" t="str">
            <v/>
          </cell>
          <cell r="X4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3">
          <cell r="V473" t="str">
            <v/>
          </cell>
          <cell r="W473" t="str">
            <v/>
          </cell>
          <cell r="X4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4">
          <cell r="V474" t="str">
            <v/>
          </cell>
          <cell r="W474" t="str">
            <v/>
          </cell>
          <cell r="X4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5">
          <cell r="V475" t="str">
            <v/>
          </cell>
          <cell r="W475" t="str">
            <v/>
          </cell>
          <cell r="X4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6">
          <cell r="V476" t="str">
            <v/>
          </cell>
          <cell r="W476" t="str">
            <v/>
          </cell>
          <cell r="X4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7">
          <cell r="V477" t="str">
            <v/>
          </cell>
          <cell r="W477" t="str">
            <v/>
          </cell>
          <cell r="X4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8">
          <cell r="V478" t="str">
            <v/>
          </cell>
          <cell r="W478" t="str">
            <v/>
          </cell>
          <cell r="X4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79">
          <cell r="V479" t="str">
            <v/>
          </cell>
          <cell r="W479" t="str">
            <v/>
          </cell>
          <cell r="X4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0">
          <cell r="V480" t="str">
            <v/>
          </cell>
          <cell r="W480" t="str">
            <v/>
          </cell>
          <cell r="X4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1">
          <cell r="V481" t="str">
            <v/>
          </cell>
          <cell r="W481" t="str">
            <v/>
          </cell>
          <cell r="X4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2">
          <cell r="V482" t="str">
            <v/>
          </cell>
          <cell r="W482" t="str">
            <v/>
          </cell>
          <cell r="X4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3">
          <cell r="V483" t="str">
            <v/>
          </cell>
          <cell r="W483" t="str">
            <v/>
          </cell>
          <cell r="X4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4">
          <cell r="V484" t="str">
            <v/>
          </cell>
          <cell r="W484" t="str">
            <v/>
          </cell>
          <cell r="X4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5">
          <cell r="V485" t="str">
            <v/>
          </cell>
          <cell r="W485" t="str">
            <v/>
          </cell>
          <cell r="X4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6">
          <cell r="V486" t="str">
            <v/>
          </cell>
          <cell r="W486" t="str">
            <v/>
          </cell>
          <cell r="X4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7">
          <cell r="V487" t="str">
            <v/>
          </cell>
          <cell r="W487" t="str">
            <v/>
          </cell>
          <cell r="X4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8">
          <cell r="V488" t="str">
            <v/>
          </cell>
          <cell r="W488" t="str">
            <v/>
          </cell>
          <cell r="X4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89">
          <cell r="V489" t="str">
            <v/>
          </cell>
          <cell r="W489" t="str">
            <v/>
          </cell>
          <cell r="X4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0">
          <cell r="V490" t="str">
            <v/>
          </cell>
          <cell r="W490" t="str">
            <v/>
          </cell>
          <cell r="X4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1">
          <cell r="V491" t="str">
            <v/>
          </cell>
          <cell r="W491" t="str">
            <v/>
          </cell>
          <cell r="X4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2">
          <cell r="V492" t="str">
            <v/>
          </cell>
          <cell r="W492" t="str">
            <v/>
          </cell>
          <cell r="X4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3">
          <cell r="V493" t="str">
            <v/>
          </cell>
          <cell r="W493" t="str">
            <v/>
          </cell>
          <cell r="X4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4">
          <cell r="V494" t="str">
            <v/>
          </cell>
          <cell r="W494" t="str">
            <v/>
          </cell>
          <cell r="X4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5">
          <cell r="V495" t="str">
            <v/>
          </cell>
          <cell r="W495" t="str">
            <v/>
          </cell>
          <cell r="X4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6">
          <cell r="V496" t="str">
            <v/>
          </cell>
          <cell r="W496" t="str">
            <v/>
          </cell>
          <cell r="X4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7">
          <cell r="V497" t="str">
            <v/>
          </cell>
          <cell r="W497" t="str">
            <v/>
          </cell>
          <cell r="X4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8">
          <cell r="V498" t="str">
            <v/>
          </cell>
          <cell r="W498" t="str">
            <v/>
          </cell>
          <cell r="X4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499">
          <cell r="V499" t="str">
            <v/>
          </cell>
          <cell r="W499" t="str">
            <v/>
          </cell>
          <cell r="X4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0">
          <cell r="V500" t="str">
            <v/>
          </cell>
          <cell r="W500" t="str">
            <v/>
          </cell>
          <cell r="X5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1">
          <cell r="V501" t="str">
            <v/>
          </cell>
          <cell r="W501" t="str">
            <v/>
          </cell>
          <cell r="X5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2">
          <cell r="V502" t="str">
            <v/>
          </cell>
          <cell r="W502" t="str">
            <v/>
          </cell>
          <cell r="X5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3">
          <cell r="V503" t="str">
            <v/>
          </cell>
          <cell r="W503" t="str">
            <v/>
          </cell>
          <cell r="X5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4">
          <cell r="V504" t="str">
            <v/>
          </cell>
          <cell r="W504" t="str">
            <v/>
          </cell>
          <cell r="X5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5">
          <cell r="V505" t="str">
            <v/>
          </cell>
          <cell r="W505" t="str">
            <v/>
          </cell>
          <cell r="X5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6">
          <cell r="V506" t="str">
            <v/>
          </cell>
          <cell r="W506" t="str">
            <v/>
          </cell>
          <cell r="X5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7">
          <cell r="V507" t="str">
            <v/>
          </cell>
          <cell r="W507" t="str">
            <v/>
          </cell>
          <cell r="X5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8">
          <cell r="V508" t="str">
            <v/>
          </cell>
          <cell r="W508" t="str">
            <v/>
          </cell>
          <cell r="X5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09">
          <cell r="V509" t="str">
            <v/>
          </cell>
          <cell r="W509" t="str">
            <v/>
          </cell>
          <cell r="X5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0">
          <cell r="V510" t="str">
            <v/>
          </cell>
          <cell r="W510" t="str">
            <v/>
          </cell>
          <cell r="X5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1">
          <cell r="V511" t="str">
            <v/>
          </cell>
          <cell r="W511" t="str">
            <v/>
          </cell>
          <cell r="X5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2">
          <cell r="V512" t="str">
            <v/>
          </cell>
          <cell r="W512" t="str">
            <v/>
          </cell>
          <cell r="X5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3">
          <cell r="V513" t="str">
            <v/>
          </cell>
          <cell r="W513" t="str">
            <v/>
          </cell>
          <cell r="X5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4">
          <cell r="V514" t="str">
            <v/>
          </cell>
          <cell r="W514" t="str">
            <v/>
          </cell>
          <cell r="X5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5">
          <cell r="V515" t="str">
            <v/>
          </cell>
          <cell r="W515" t="str">
            <v/>
          </cell>
          <cell r="X5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6">
          <cell r="V516" t="str">
            <v/>
          </cell>
          <cell r="W516" t="str">
            <v/>
          </cell>
          <cell r="X5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7">
          <cell r="V517" t="str">
            <v/>
          </cell>
          <cell r="W517" t="str">
            <v/>
          </cell>
          <cell r="X5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8">
          <cell r="V518" t="str">
            <v/>
          </cell>
          <cell r="W518" t="str">
            <v/>
          </cell>
          <cell r="X5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19">
          <cell r="V519" t="str">
            <v/>
          </cell>
          <cell r="W519" t="str">
            <v/>
          </cell>
          <cell r="X5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0">
          <cell r="V520" t="str">
            <v/>
          </cell>
          <cell r="W520" t="str">
            <v/>
          </cell>
          <cell r="X5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1">
          <cell r="V521" t="str">
            <v/>
          </cell>
          <cell r="W521" t="str">
            <v/>
          </cell>
          <cell r="X5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2">
          <cell r="V522" t="str">
            <v/>
          </cell>
          <cell r="W522" t="str">
            <v/>
          </cell>
          <cell r="X5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3">
          <cell r="V523" t="str">
            <v/>
          </cell>
          <cell r="W523" t="str">
            <v/>
          </cell>
          <cell r="X5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4">
          <cell r="V524" t="str">
            <v/>
          </cell>
          <cell r="W524" t="str">
            <v/>
          </cell>
          <cell r="X5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5">
          <cell r="V525" t="str">
            <v/>
          </cell>
          <cell r="W525" t="str">
            <v/>
          </cell>
          <cell r="X5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6">
          <cell r="V526" t="str">
            <v/>
          </cell>
          <cell r="W526" t="str">
            <v/>
          </cell>
          <cell r="X5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7">
          <cell r="V527" t="str">
            <v/>
          </cell>
          <cell r="W527" t="str">
            <v/>
          </cell>
          <cell r="X5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8">
          <cell r="V528" t="str">
            <v/>
          </cell>
          <cell r="W528" t="str">
            <v/>
          </cell>
          <cell r="X5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29">
          <cell r="V529" t="str">
            <v/>
          </cell>
          <cell r="W529" t="str">
            <v/>
          </cell>
          <cell r="X5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0">
          <cell r="V530" t="str">
            <v/>
          </cell>
          <cell r="W530" t="str">
            <v/>
          </cell>
          <cell r="X5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1">
          <cell r="V531" t="str">
            <v/>
          </cell>
          <cell r="W531" t="str">
            <v/>
          </cell>
          <cell r="X5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2">
          <cell r="V532" t="str">
            <v/>
          </cell>
          <cell r="W532" t="str">
            <v/>
          </cell>
          <cell r="X5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3">
          <cell r="V533" t="str">
            <v/>
          </cell>
          <cell r="W533" t="str">
            <v/>
          </cell>
          <cell r="X5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4">
          <cell r="V534" t="str">
            <v/>
          </cell>
          <cell r="W534" t="str">
            <v/>
          </cell>
          <cell r="X5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5">
          <cell r="V535" t="str">
            <v/>
          </cell>
          <cell r="W535" t="str">
            <v/>
          </cell>
          <cell r="X5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6">
          <cell r="V536" t="str">
            <v/>
          </cell>
          <cell r="W536" t="str">
            <v/>
          </cell>
          <cell r="X5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7">
          <cell r="V537" t="str">
            <v/>
          </cell>
          <cell r="W537" t="str">
            <v/>
          </cell>
          <cell r="X5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8">
          <cell r="V538" t="str">
            <v/>
          </cell>
          <cell r="W538" t="str">
            <v/>
          </cell>
          <cell r="X5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39">
          <cell r="V539" t="str">
            <v/>
          </cell>
          <cell r="W539" t="str">
            <v/>
          </cell>
          <cell r="X5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0">
          <cell r="V540" t="str">
            <v/>
          </cell>
          <cell r="W540" t="str">
            <v/>
          </cell>
          <cell r="X5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1">
          <cell r="V541" t="str">
            <v/>
          </cell>
          <cell r="W541" t="str">
            <v/>
          </cell>
          <cell r="X5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2">
          <cell r="V542" t="str">
            <v/>
          </cell>
          <cell r="W542" t="str">
            <v/>
          </cell>
          <cell r="X5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3">
          <cell r="V543" t="str">
            <v/>
          </cell>
          <cell r="W543" t="str">
            <v/>
          </cell>
          <cell r="X5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4">
          <cell r="V544" t="str">
            <v/>
          </cell>
          <cell r="W544" t="str">
            <v/>
          </cell>
          <cell r="X5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5">
          <cell r="V545" t="str">
            <v/>
          </cell>
          <cell r="W545" t="str">
            <v/>
          </cell>
          <cell r="X5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6">
          <cell r="V546" t="str">
            <v/>
          </cell>
          <cell r="W546" t="str">
            <v/>
          </cell>
          <cell r="X5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7">
          <cell r="V547" t="str">
            <v/>
          </cell>
          <cell r="W547" t="str">
            <v/>
          </cell>
          <cell r="X5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8">
          <cell r="V548" t="str">
            <v/>
          </cell>
          <cell r="W548" t="str">
            <v/>
          </cell>
          <cell r="X5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49">
          <cell r="V549" t="str">
            <v/>
          </cell>
          <cell r="W549" t="str">
            <v/>
          </cell>
          <cell r="X5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0">
          <cell r="V550" t="str">
            <v/>
          </cell>
          <cell r="W550" t="str">
            <v/>
          </cell>
          <cell r="X5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1">
          <cell r="V551" t="str">
            <v/>
          </cell>
          <cell r="W551" t="str">
            <v/>
          </cell>
          <cell r="X5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2">
          <cell r="V552" t="str">
            <v/>
          </cell>
          <cell r="W552" t="str">
            <v/>
          </cell>
          <cell r="X5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3">
          <cell r="V553" t="str">
            <v/>
          </cell>
          <cell r="W553" t="str">
            <v/>
          </cell>
          <cell r="X5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4">
          <cell r="V554" t="str">
            <v/>
          </cell>
          <cell r="W554" t="str">
            <v/>
          </cell>
          <cell r="X5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5">
          <cell r="V555" t="str">
            <v/>
          </cell>
          <cell r="W555" t="str">
            <v/>
          </cell>
          <cell r="X5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6">
          <cell r="V556" t="str">
            <v/>
          </cell>
          <cell r="W556" t="str">
            <v/>
          </cell>
          <cell r="X5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7">
          <cell r="V557" t="str">
            <v/>
          </cell>
          <cell r="W557" t="str">
            <v/>
          </cell>
          <cell r="X5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8">
          <cell r="V558" t="str">
            <v/>
          </cell>
          <cell r="W558" t="str">
            <v/>
          </cell>
          <cell r="X5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59">
          <cell r="V559" t="str">
            <v/>
          </cell>
          <cell r="W559" t="str">
            <v/>
          </cell>
          <cell r="X5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0">
          <cell r="V560" t="str">
            <v/>
          </cell>
          <cell r="W560" t="str">
            <v/>
          </cell>
          <cell r="X5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1">
          <cell r="V561" t="str">
            <v/>
          </cell>
          <cell r="W561" t="str">
            <v/>
          </cell>
          <cell r="X5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2">
          <cell r="V562" t="str">
            <v/>
          </cell>
          <cell r="W562" t="str">
            <v/>
          </cell>
          <cell r="X5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3">
          <cell r="V563" t="str">
            <v/>
          </cell>
          <cell r="W563" t="str">
            <v/>
          </cell>
          <cell r="X5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4">
          <cell r="V564" t="str">
            <v/>
          </cell>
          <cell r="W564" t="str">
            <v/>
          </cell>
          <cell r="X5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5">
          <cell r="V565" t="str">
            <v/>
          </cell>
          <cell r="W565" t="str">
            <v/>
          </cell>
          <cell r="X5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6">
          <cell r="V566" t="str">
            <v/>
          </cell>
          <cell r="W566" t="str">
            <v/>
          </cell>
          <cell r="X5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7">
          <cell r="V567" t="str">
            <v/>
          </cell>
          <cell r="W567" t="str">
            <v/>
          </cell>
          <cell r="X5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8">
          <cell r="V568" t="str">
            <v/>
          </cell>
          <cell r="W568" t="str">
            <v/>
          </cell>
          <cell r="X5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69">
          <cell r="V569" t="str">
            <v/>
          </cell>
          <cell r="W569" t="str">
            <v/>
          </cell>
          <cell r="X5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0">
          <cell r="V570" t="str">
            <v/>
          </cell>
          <cell r="W570" t="str">
            <v/>
          </cell>
          <cell r="X5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1">
          <cell r="V571" t="str">
            <v/>
          </cell>
          <cell r="W571" t="str">
            <v/>
          </cell>
          <cell r="X5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2">
          <cell r="V572" t="str">
            <v/>
          </cell>
          <cell r="W572" t="str">
            <v/>
          </cell>
          <cell r="X5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3">
          <cell r="V573" t="str">
            <v/>
          </cell>
          <cell r="W573" t="str">
            <v/>
          </cell>
          <cell r="X5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4">
          <cell r="V574" t="str">
            <v/>
          </cell>
          <cell r="W574" t="str">
            <v/>
          </cell>
          <cell r="X5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5">
          <cell r="V575" t="str">
            <v/>
          </cell>
          <cell r="W575" t="str">
            <v/>
          </cell>
          <cell r="X5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6">
          <cell r="V576" t="str">
            <v/>
          </cell>
          <cell r="W576" t="str">
            <v/>
          </cell>
          <cell r="X5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7">
          <cell r="V577" t="str">
            <v/>
          </cell>
          <cell r="W577" t="str">
            <v/>
          </cell>
          <cell r="X5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8">
          <cell r="V578" t="str">
            <v/>
          </cell>
          <cell r="W578" t="str">
            <v/>
          </cell>
          <cell r="X5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79">
          <cell r="V579" t="str">
            <v/>
          </cell>
          <cell r="W579" t="str">
            <v/>
          </cell>
          <cell r="X5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0">
          <cell r="V580" t="str">
            <v/>
          </cell>
          <cell r="W580" t="str">
            <v/>
          </cell>
          <cell r="X5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1">
          <cell r="V581" t="str">
            <v/>
          </cell>
          <cell r="W581" t="str">
            <v/>
          </cell>
          <cell r="X5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2">
          <cell r="V582" t="str">
            <v/>
          </cell>
          <cell r="W582" t="str">
            <v/>
          </cell>
          <cell r="X5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3">
          <cell r="V583" t="str">
            <v/>
          </cell>
          <cell r="W583" t="str">
            <v/>
          </cell>
          <cell r="X5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4">
          <cell r="V584" t="str">
            <v/>
          </cell>
          <cell r="W584" t="str">
            <v/>
          </cell>
          <cell r="X5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5">
          <cell r="V585" t="str">
            <v/>
          </cell>
          <cell r="W585" t="str">
            <v/>
          </cell>
          <cell r="X5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6">
          <cell r="V586" t="str">
            <v/>
          </cell>
          <cell r="W586" t="str">
            <v/>
          </cell>
          <cell r="X5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7">
          <cell r="V587" t="str">
            <v/>
          </cell>
          <cell r="W587" t="str">
            <v/>
          </cell>
          <cell r="X5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8">
          <cell r="V588" t="str">
            <v/>
          </cell>
          <cell r="W588" t="str">
            <v/>
          </cell>
          <cell r="X5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89">
          <cell r="V589" t="str">
            <v/>
          </cell>
          <cell r="W589" t="str">
            <v/>
          </cell>
          <cell r="X5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0">
          <cell r="V590" t="str">
            <v/>
          </cell>
          <cell r="W590" t="str">
            <v/>
          </cell>
          <cell r="X5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1">
          <cell r="V591" t="str">
            <v/>
          </cell>
          <cell r="W591" t="str">
            <v/>
          </cell>
          <cell r="X5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2">
          <cell r="V592" t="str">
            <v/>
          </cell>
          <cell r="W592" t="str">
            <v/>
          </cell>
          <cell r="X5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3">
          <cell r="V593" t="str">
            <v/>
          </cell>
          <cell r="W593" t="str">
            <v/>
          </cell>
          <cell r="X5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4">
          <cell r="V594" t="str">
            <v/>
          </cell>
          <cell r="W594" t="str">
            <v/>
          </cell>
          <cell r="X5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5">
          <cell r="V595" t="str">
            <v/>
          </cell>
          <cell r="W595" t="str">
            <v/>
          </cell>
          <cell r="X5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6">
          <cell r="V596" t="str">
            <v/>
          </cell>
          <cell r="W596" t="str">
            <v/>
          </cell>
          <cell r="X5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7">
          <cell r="V597" t="str">
            <v/>
          </cell>
          <cell r="W597" t="str">
            <v/>
          </cell>
          <cell r="X5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8">
          <cell r="V598" t="str">
            <v/>
          </cell>
          <cell r="W598" t="str">
            <v/>
          </cell>
          <cell r="X5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599">
          <cell r="V599" t="str">
            <v/>
          </cell>
          <cell r="W599" t="str">
            <v/>
          </cell>
          <cell r="X5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0">
          <cell r="V600" t="str">
            <v/>
          </cell>
          <cell r="W600" t="str">
            <v/>
          </cell>
          <cell r="X60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1">
          <cell r="V601" t="str">
            <v/>
          </cell>
          <cell r="W601" t="str">
            <v/>
          </cell>
          <cell r="X60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2">
          <cell r="V602" t="str">
            <v/>
          </cell>
          <cell r="W602" t="str">
            <v/>
          </cell>
          <cell r="X60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3">
          <cell r="V603" t="str">
            <v/>
          </cell>
          <cell r="W603" t="str">
            <v/>
          </cell>
          <cell r="X60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4">
          <cell r="V604" t="str">
            <v/>
          </cell>
          <cell r="W604" t="str">
            <v/>
          </cell>
          <cell r="X60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5">
          <cell r="V605" t="str">
            <v/>
          </cell>
          <cell r="W605" t="str">
            <v/>
          </cell>
          <cell r="X60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6">
          <cell r="V606" t="str">
            <v/>
          </cell>
          <cell r="W606" t="str">
            <v/>
          </cell>
          <cell r="X60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7">
          <cell r="V607" t="str">
            <v/>
          </cell>
          <cell r="W607" t="str">
            <v/>
          </cell>
          <cell r="X60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8">
          <cell r="V608" t="str">
            <v/>
          </cell>
          <cell r="W608" t="str">
            <v/>
          </cell>
          <cell r="X60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09">
          <cell r="V609" t="str">
            <v/>
          </cell>
          <cell r="W609" t="str">
            <v/>
          </cell>
          <cell r="X60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0">
          <cell r="V610" t="str">
            <v/>
          </cell>
          <cell r="W610" t="str">
            <v/>
          </cell>
          <cell r="X61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1">
          <cell r="V611" t="str">
            <v/>
          </cell>
          <cell r="W611" t="str">
            <v/>
          </cell>
          <cell r="X61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2">
          <cell r="V612" t="str">
            <v/>
          </cell>
          <cell r="W612" t="str">
            <v/>
          </cell>
          <cell r="X61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3">
          <cell r="V613" t="str">
            <v/>
          </cell>
          <cell r="W613" t="str">
            <v/>
          </cell>
          <cell r="X61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4">
          <cell r="V614" t="str">
            <v/>
          </cell>
          <cell r="W614" t="str">
            <v/>
          </cell>
          <cell r="X61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5">
          <cell r="V615" t="str">
            <v/>
          </cell>
          <cell r="W615" t="str">
            <v/>
          </cell>
          <cell r="X61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6">
          <cell r="V616" t="str">
            <v/>
          </cell>
          <cell r="W616" t="str">
            <v/>
          </cell>
          <cell r="X61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7">
          <cell r="V617" t="str">
            <v/>
          </cell>
          <cell r="W617" t="str">
            <v/>
          </cell>
          <cell r="X61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8">
          <cell r="V618" t="str">
            <v/>
          </cell>
          <cell r="W618" t="str">
            <v/>
          </cell>
          <cell r="X61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19">
          <cell r="V619" t="str">
            <v/>
          </cell>
          <cell r="W619" t="str">
            <v/>
          </cell>
          <cell r="X61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0">
          <cell r="V620" t="str">
            <v/>
          </cell>
          <cell r="W620" t="str">
            <v/>
          </cell>
          <cell r="X62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1">
          <cell r="V621" t="str">
            <v/>
          </cell>
          <cell r="W621" t="str">
            <v/>
          </cell>
          <cell r="X62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2">
          <cell r="V622" t="str">
            <v/>
          </cell>
          <cell r="W622" t="str">
            <v/>
          </cell>
          <cell r="X62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3">
          <cell r="V623" t="str">
            <v/>
          </cell>
          <cell r="W623" t="str">
            <v/>
          </cell>
          <cell r="X62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4">
          <cell r="V624" t="str">
            <v/>
          </cell>
          <cell r="W624" t="str">
            <v/>
          </cell>
          <cell r="X62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5">
          <cell r="V625" t="str">
            <v/>
          </cell>
          <cell r="W625" t="str">
            <v/>
          </cell>
          <cell r="X62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6">
          <cell r="V626" t="str">
            <v/>
          </cell>
          <cell r="W626" t="str">
            <v/>
          </cell>
          <cell r="X62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7">
          <cell r="V627" t="str">
            <v/>
          </cell>
          <cell r="W627" t="str">
            <v/>
          </cell>
          <cell r="X62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8">
          <cell r="V628" t="str">
            <v/>
          </cell>
          <cell r="W628" t="str">
            <v/>
          </cell>
          <cell r="X62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29">
          <cell r="V629" t="str">
            <v/>
          </cell>
          <cell r="W629" t="str">
            <v/>
          </cell>
          <cell r="X62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0">
          <cell r="V630" t="str">
            <v/>
          </cell>
          <cell r="W630" t="str">
            <v/>
          </cell>
          <cell r="X63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1">
          <cell r="V631" t="str">
            <v/>
          </cell>
          <cell r="W631" t="str">
            <v/>
          </cell>
          <cell r="X63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2">
          <cell r="V632" t="str">
            <v/>
          </cell>
          <cell r="W632" t="str">
            <v/>
          </cell>
          <cell r="X63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3">
          <cell r="V633" t="str">
            <v/>
          </cell>
          <cell r="W633" t="str">
            <v/>
          </cell>
          <cell r="X63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4">
          <cell r="V634" t="str">
            <v/>
          </cell>
          <cell r="W634" t="str">
            <v/>
          </cell>
          <cell r="X63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5">
          <cell r="V635" t="str">
            <v/>
          </cell>
          <cell r="W635" t="str">
            <v/>
          </cell>
          <cell r="X63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6">
          <cell r="V636" t="str">
            <v/>
          </cell>
          <cell r="W636" t="str">
            <v/>
          </cell>
          <cell r="X63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7">
          <cell r="V637" t="str">
            <v/>
          </cell>
          <cell r="W637" t="str">
            <v/>
          </cell>
          <cell r="X63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8">
          <cell r="V638" t="str">
            <v/>
          </cell>
          <cell r="W638" t="str">
            <v/>
          </cell>
          <cell r="X6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39">
          <cell r="V639" t="str">
            <v/>
          </cell>
          <cell r="W639" t="str">
            <v/>
          </cell>
          <cell r="X63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0">
          <cell r="V640" t="str">
            <v/>
          </cell>
          <cell r="W640" t="str">
            <v/>
          </cell>
          <cell r="X64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1">
          <cell r="V641" t="str">
            <v/>
          </cell>
          <cell r="W641" t="str">
            <v/>
          </cell>
          <cell r="X64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2">
          <cell r="V642" t="str">
            <v/>
          </cell>
          <cell r="W642" t="str">
            <v/>
          </cell>
          <cell r="X64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3">
          <cell r="V643" t="str">
            <v/>
          </cell>
          <cell r="W643" t="str">
            <v/>
          </cell>
          <cell r="X64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4">
          <cell r="V644" t="str">
            <v/>
          </cell>
          <cell r="W644" t="str">
            <v/>
          </cell>
          <cell r="X64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5">
          <cell r="V645" t="str">
            <v/>
          </cell>
          <cell r="W645" t="str">
            <v/>
          </cell>
          <cell r="X64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6">
          <cell r="V646" t="str">
            <v/>
          </cell>
          <cell r="W646" t="str">
            <v/>
          </cell>
          <cell r="X64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7">
          <cell r="V647" t="str">
            <v/>
          </cell>
          <cell r="W647" t="str">
            <v/>
          </cell>
          <cell r="X64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8">
          <cell r="V648" t="str">
            <v/>
          </cell>
          <cell r="W648" t="str">
            <v/>
          </cell>
          <cell r="X64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49">
          <cell r="V649" t="str">
            <v/>
          </cell>
          <cell r="W649" t="str">
            <v/>
          </cell>
          <cell r="X64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0">
          <cell r="V650" t="str">
            <v/>
          </cell>
          <cell r="W650" t="str">
            <v/>
          </cell>
          <cell r="X65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1">
          <cell r="V651" t="str">
            <v/>
          </cell>
          <cell r="W651" t="str">
            <v/>
          </cell>
          <cell r="X65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2">
          <cell r="V652" t="str">
            <v/>
          </cell>
          <cell r="W652" t="str">
            <v/>
          </cell>
          <cell r="X65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3">
          <cell r="V653" t="str">
            <v/>
          </cell>
          <cell r="W653" t="str">
            <v/>
          </cell>
          <cell r="X65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4">
          <cell r="V654" t="str">
            <v/>
          </cell>
          <cell r="W654" t="str">
            <v/>
          </cell>
          <cell r="X65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5">
          <cell r="V655" t="str">
            <v/>
          </cell>
          <cell r="W655" t="str">
            <v/>
          </cell>
          <cell r="X65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6">
          <cell r="V656" t="str">
            <v/>
          </cell>
          <cell r="W656" t="str">
            <v/>
          </cell>
          <cell r="X65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7">
          <cell r="V657" t="str">
            <v/>
          </cell>
          <cell r="W657" t="str">
            <v/>
          </cell>
          <cell r="X65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8">
          <cell r="V658" t="str">
            <v/>
          </cell>
          <cell r="W658" t="str">
            <v/>
          </cell>
          <cell r="X65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59">
          <cell r="V659" t="str">
            <v/>
          </cell>
          <cell r="W659" t="str">
            <v/>
          </cell>
          <cell r="X65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0">
          <cell r="V660" t="str">
            <v/>
          </cell>
          <cell r="W660" t="str">
            <v/>
          </cell>
          <cell r="X66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1">
          <cell r="V661" t="str">
            <v/>
          </cell>
          <cell r="W661" t="str">
            <v/>
          </cell>
          <cell r="X66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2">
          <cell r="V662" t="str">
            <v/>
          </cell>
          <cell r="W662" t="str">
            <v/>
          </cell>
          <cell r="X66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3">
          <cell r="V663" t="str">
            <v/>
          </cell>
          <cell r="W663" t="str">
            <v/>
          </cell>
          <cell r="X66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4">
          <cell r="V664" t="str">
            <v/>
          </cell>
          <cell r="W664" t="str">
            <v/>
          </cell>
          <cell r="X66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5">
          <cell r="V665" t="str">
            <v/>
          </cell>
          <cell r="W665" t="str">
            <v/>
          </cell>
          <cell r="X66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6">
          <cell r="V666" t="str">
            <v/>
          </cell>
          <cell r="W666" t="str">
            <v/>
          </cell>
          <cell r="X66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7">
          <cell r="V667" t="str">
            <v/>
          </cell>
          <cell r="W667" t="str">
            <v/>
          </cell>
          <cell r="X66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8">
          <cell r="V668" t="str">
            <v/>
          </cell>
          <cell r="W668" t="str">
            <v/>
          </cell>
          <cell r="X66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69">
          <cell r="V669" t="str">
            <v/>
          </cell>
          <cell r="W669" t="str">
            <v/>
          </cell>
          <cell r="X66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0">
          <cell r="V670" t="str">
            <v/>
          </cell>
          <cell r="W670" t="str">
            <v/>
          </cell>
          <cell r="X67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1">
          <cell r="V671" t="str">
            <v/>
          </cell>
          <cell r="W671" t="str">
            <v/>
          </cell>
          <cell r="X67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2">
          <cell r="V672" t="str">
            <v/>
          </cell>
          <cell r="W672" t="str">
            <v/>
          </cell>
          <cell r="X67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3">
          <cell r="V673" t="str">
            <v/>
          </cell>
          <cell r="W673" t="str">
            <v/>
          </cell>
          <cell r="X67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4">
          <cell r="V674" t="str">
            <v/>
          </cell>
          <cell r="W674" t="str">
            <v/>
          </cell>
          <cell r="X67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5">
          <cell r="V675" t="str">
            <v/>
          </cell>
          <cell r="W675" t="str">
            <v/>
          </cell>
          <cell r="X67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6">
          <cell r="V676" t="str">
            <v/>
          </cell>
          <cell r="W676" t="str">
            <v/>
          </cell>
          <cell r="X67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7">
          <cell r="V677" t="str">
            <v/>
          </cell>
          <cell r="W677" t="str">
            <v/>
          </cell>
          <cell r="X67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8">
          <cell r="V678" t="str">
            <v/>
          </cell>
          <cell r="W678" t="str">
            <v/>
          </cell>
          <cell r="X67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79">
          <cell r="V679" t="str">
            <v/>
          </cell>
          <cell r="W679" t="str">
            <v/>
          </cell>
          <cell r="X67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0">
          <cell r="V680" t="str">
            <v/>
          </cell>
          <cell r="W680" t="str">
            <v/>
          </cell>
          <cell r="X68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1">
          <cell r="V681" t="str">
            <v/>
          </cell>
          <cell r="W681" t="str">
            <v/>
          </cell>
          <cell r="X68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2">
          <cell r="V682" t="str">
            <v/>
          </cell>
          <cell r="W682" t="str">
            <v/>
          </cell>
          <cell r="X68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3">
          <cell r="V683" t="str">
            <v/>
          </cell>
          <cell r="W683" t="str">
            <v/>
          </cell>
          <cell r="X68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4">
          <cell r="V684" t="str">
            <v/>
          </cell>
          <cell r="W684" t="str">
            <v/>
          </cell>
          <cell r="X68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5">
          <cell r="V685" t="str">
            <v/>
          </cell>
          <cell r="W685" t="str">
            <v/>
          </cell>
          <cell r="X68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6">
          <cell r="V686" t="str">
            <v/>
          </cell>
          <cell r="W686" t="str">
            <v/>
          </cell>
          <cell r="X68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7">
          <cell r="V687" t="str">
            <v/>
          </cell>
          <cell r="W687" t="str">
            <v/>
          </cell>
          <cell r="X68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8">
          <cell r="V688" t="str">
            <v/>
          </cell>
          <cell r="W688" t="str">
            <v/>
          </cell>
          <cell r="X68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89">
          <cell r="V689" t="str">
            <v/>
          </cell>
          <cell r="W689" t="str">
            <v/>
          </cell>
          <cell r="X68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0">
          <cell r="V690" t="str">
            <v/>
          </cell>
          <cell r="W690" t="str">
            <v/>
          </cell>
          <cell r="X690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1">
          <cell r="V691" t="str">
            <v/>
          </cell>
          <cell r="W691" t="str">
            <v/>
          </cell>
          <cell r="X691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2">
          <cell r="V692" t="str">
            <v/>
          </cell>
          <cell r="W692" t="str">
            <v/>
          </cell>
          <cell r="X692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3">
          <cell r="V693" t="str">
            <v/>
          </cell>
          <cell r="W693" t="str">
            <v/>
          </cell>
          <cell r="X693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4">
          <cell r="V694" t="str">
            <v/>
          </cell>
          <cell r="W694" t="str">
            <v/>
          </cell>
          <cell r="X694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5">
          <cell r="V695" t="str">
            <v/>
          </cell>
          <cell r="W695" t="str">
            <v/>
          </cell>
          <cell r="X695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6">
          <cell r="V696" t="str">
            <v/>
          </cell>
          <cell r="W696" t="str">
            <v/>
          </cell>
          <cell r="X696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7">
          <cell r="V697" t="str">
            <v/>
          </cell>
          <cell r="W697" t="str">
            <v/>
          </cell>
          <cell r="X697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8">
          <cell r="V698" t="str">
            <v/>
          </cell>
          <cell r="W698" t="str">
            <v/>
          </cell>
          <cell r="X69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699">
          <cell r="V699" t="str">
            <v/>
          </cell>
          <cell r="W699" t="str">
            <v/>
          </cell>
          <cell r="X699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abSelected="1" topLeftCell="A11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315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10" t="s">
        <v>25</v>
      </c>
      <c r="B23" s="10" t="e">
        <f>#N/A</f>
        <v>#N/A</v>
      </c>
      <c r="F23" s="13"/>
    </row>
    <row r="24" spans="1:6" x14ac:dyDescent="0.25">
      <c r="A24" s="10" t="s">
        <v>26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27</v>
      </c>
      <c r="B26" s="10" t="s">
        <v>28</v>
      </c>
      <c r="F26" s="13"/>
    </row>
    <row r="27" spans="1:6" x14ac:dyDescent="0.25">
      <c r="A27" s="10"/>
      <c r="B27" s="10"/>
    </row>
    <row r="28" spans="1:6" x14ac:dyDescent="0.25">
      <c r="A28" s="10" t="s">
        <v>29</v>
      </c>
      <c r="B28" s="1" t="s">
        <v>30</v>
      </c>
    </row>
    <row r="29" spans="1:6" x14ac:dyDescent="0.25">
      <c r="A29" s="10" t="s">
        <v>31</v>
      </c>
      <c r="B29" s="1" t="s">
        <v>32</v>
      </c>
    </row>
    <row r="30" spans="1:6" x14ac:dyDescent="0.25">
      <c r="A30" s="10" t="s">
        <v>33</v>
      </c>
      <c r="B30" s="10" t="s">
        <v>34</v>
      </c>
    </row>
    <row r="32" spans="1:6" x14ac:dyDescent="0.25">
      <c r="A32" s="10" t="s">
        <v>18</v>
      </c>
      <c r="B32" s="7" t="b">
        <f>FALSE()</f>
        <v>0</v>
      </c>
    </row>
    <row r="33" spans="1:3" x14ac:dyDescent="0.25">
      <c r="A33" s="10" t="s">
        <v>35</v>
      </c>
      <c r="B33" s="7" t="b">
        <f>FALSE()</f>
        <v>0</v>
      </c>
    </row>
    <row r="35" spans="1:3" x14ac:dyDescent="0.25">
      <c r="A35" s="10" t="s">
        <v>36</v>
      </c>
      <c r="B35" s="14">
        <v>100</v>
      </c>
    </row>
    <row r="36" spans="1:3" x14ac:dyDescent="0.25">
      <c r="A36" s="10" t="s">
        <v>37</v>
      </c>
      <c r="B36" s="14" t="s">
        <v>38</v>
      </c>
    </row>
    <row r="37" spans="1:3" x14ac:dyDescent="0.25">
      <c r="C37" s="10" t="s">
        <v>39</v>
      </c>
    </row>
    <row r="38" spans="1:3" x14ac:dyDescent="0.25">
      <c r="A38" s="10" t="s">
        <v>40</v>
      </c>
      <c r="B38" s="7" t="s">
        <v>41</v>
      </c>
      <c r="C38" s="1">
        <v>2</v>
      </c>
    </row>
    <row r="40" spans="1:3" x14ac:dyDescent="0.25">
      <c r="A40" s="10" t="s">
        <v>42</v>
      </c>
    </row>
    <row r="41" spans="1:3" x14ac:dyDescent="0.25">
      <c r="A41" s="10" t="s">
        <v>43</v>
      </c>
    </row>
    <row r="42" spans="1:3" x14ac:dyDescent="0.25">
      <c r="A42" s="10" t="s">
        <v>44</v>
      </c>
    </row>
    <row r="44" spans="1:3" x14ac:dyDescent="0.25">
      <c r="A44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F15" sqref="F1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1"/>
      <c r="B3" s="32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1"/>
      <c r="B4" s="32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8" t="s">
        <v>245</v>
      </c>
      <c r="B5" s="20" t="s">
        <v>149</v>
      </c>
      <c r="C5" s="20" t="s">
        <v>150</v>
      </c>
      <c r="D5" s="20" t="s">
        <v>151</v>
      </c>
      <c r="E5" s="33" t="s">
        <v>256</v>
      </c>
      <c r="F5" s="33" t="str">
        <f>E5</f>
        <v>kregio kq10 kq4 kq4xregiok10 kq4xregiok20 kq4xregiok30 kq4xregiok40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8" t="s">
        <v>246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8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8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8" t="s">
        <v>228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257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topLeftCell="AD1" zoomScaleNormal="100" workbookViewId="0">
      <selection activeCell="AM14" sqref="AM14:AM15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16" t="s">
        <v>222</v>
      </c>
      <c r="B1" s="16" t="s">
        <v>223</v>
      </c>
      <c r="C1" s="16" t="s">
        <v>224</v>
      </c>
      <c r="D1" s="16" t="s">
        <v>225</v>
      </c>
      <c r="E1" s="16" t="s">
        <v>226</v>
      </c>
      <c r="F1" s="24" t="s">
        <v>227</v>
      </c>
      <c r="G1" s="29" t="s">
        <v>247</v>
      </c>
      <c r="H1" s="25" t="s">
        <v>248</v>
      </c>
      <c r="I1" s="24" t="s">
        <v>228</v>
      </c>
      <c r="J1" s="24" t="s">
        <v>229</v>
      </c>
      <c r="K1" s="24" t="s">
        <v>230</v>
      </c>
      <c r="L1" s="25" t="s">
        <v>249</v>
      </c>
      <c r="M1" s="25" t="s">
        <v>250</v>
      </c>
      <c r="N1" s="25" t="s">
        <v>251</v>
      </c>
      <c r="O1" s="25" t="s">
        <v>231</v>
      </c>
      <c r="P1" s="16" t="s">
        <v>232</v>
      </c>
      <c r="Q1" s="30" t="s">
        <v>252</v>
      </c>
      <c r="R1" s="24" t="s">
        <v>233</v>
      </c>
      <c r="S1" s="24" t="s">
        <v>234</v>
      </c>
      <c r="T1" s="24" t="s">
        <v>235</v>
      </c>
      <c r="U1" s="24" t="s">
        <v>236</v>
      </c>
      <c r="V1" s="30" t="s">
        <v>186</v>
      </c>
      <c r="W1" s="30" t="s">
        <v>193</v>
      </c>
      <c r="X1" s="30" t="s">
        <v>202</v>
      </c>
      <c r="Y1" s="30" t="s">
        <v>245</v>
      </c>
      <c r="Z1" s="30" t="s">
        <v>237</v>
      </c>
      <c r="AA1" s="30" t="s">
        <v>238</v>
      </c>
      <c r="AB1" s="30" t="s">
        <v>239</v>
      </c>
      <c r="AC1" s="30" t="s">
        <v>308</v>
      </c>
      <c r="AD1" s="30" t="s">
        <v>255</v>
      </c>
      <c r="AE1" s="30" t="s">
        <v>200</v>
      </c>
      <c r="AF1" s="30" t="s">
        <v>170</v>
      </c>
      <c r="AG1" s="30" t="s">
        <v>172</v>
      </c>
      <c r="AH1" s="30" t="s">
        <v>253</v>
      </c>
      <c r="AI1" s="30" t="s">
        <v>240</v>
      </c>
      <c r="AJ1" s="30" t="s">
        <v>254</v>
      </c>
      <c r="AK1" s="30" t="s">
        <v>241</v>
      </c>
      <c r="AL1" s="30" t="s">
        <v>309</v>
      </c>
      <c r="AM1" s="30" t="s">
        <v>310</v>
      </c>
      <c r="AN1" s="30" t="s">
        <v>311</v>
      </c>
      <c r="AO1" s="30" t="s">
        <v>312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6"/>
      <c r="G3" s="26"/>
      <c r="H3" s="26"/>
      <c r="I3" s="26"/>
      <c r="J3" s="26"/>
      <c r="K3" s="26"/>
      <c r="L3" s="26"/>
      <c r="M3" s="26"/>
      <c r="N3" s="26"/>
      <c r="O3" s="26"/>
      <c r="P3" s="35" t="str">
        <f t="shared" ref="P3:P18" si="0">IF(B3&lt;&gt;"",A3&amp;"}"&amp;B3,"")</f>
        <v/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7"/>
    </row>
    <row r="4" spans="1:42" x14ac:dyDescent="0.25">
      <c r="C4" s="22"/>
      <c r="F4" s="26"/>
      <c r="G4" s="26"/>
      <c r="H4" s="26"/>
      <c r="I4" s="26"/>
      <c r="J4" s="26"/>
      <c r="K4" s="26"/>
      <c r="L4" s="26"/>
      <c r="M4" s="26"/>
      <c r="N4" s="26"/>
      <c r="O4" s="26"/>
      <c r="P4" s="35" t="str">
        <f t="shared" si="0"/>
        <v/>
      </c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7"/>
    </row>
    <row r="5" spans="1:42" x14ac:dyDescent="0.25">
      <c r="A5" s="34"/>
      <c r="B5" s="34" t="s">
        <v>258</v>
      </c>
      <c r="C5" s="34"/>
      <c r="D5" s="34"/>
      <c r="E5" s="34"/>
      <c r="F5" s="35" t="s">
        <v>242</v>
      </c>
      <c r="G5" s="35" t="s">
        <v>259</v>
      </c>
      <c r="H5" s="35"/>
      <c r="I5" s="35"/>
      <c r="J5" s="35"/>
      <c r="K5" s="35"/>
      <c r="L5" s="35"/>
      <c r="M5" s="35"/>
      <c r="N5" s="35"/>
      <c r="O5" s="26"/>
      <c r="P5" s="35" t="str">
        <f t="shared" si="0"/>
        <v>}Region</v>
      </c>
      <c r="Q5" s="35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7"/>
    </row>
    <row r="6" spans="1:42" x14ac:dyDescent="0.25">
      <c r="A6" s="34" t="str">
        <f>"Q"&amp;LEFT(B6,FIND(".",B6)-1)</f>
        <v>Q1</v>
      </c>
      <c r="B6" s="34" t="s">
        <v>260</v>
      </c>
      <c r="C6" s="34"/>
      <c r="D6" s="34"/>
      <c r="E6" s="34"/>
      <c r="F6" s="35" t="s">
        <v>242</v>
      </c>
      <c r="G6" s="35" t="str">
        <f>VLOOKUP(A6,V_Variablen,3,FALSE)</f>
        <v xml:space="preserve">q1 </v>
      </c>
      <c r="H6" s="35" t="s">
        <v>261</v>
      </c>
      <c r="I6" s="35"/>
      <c r="J6" s="35"/>
      <c r="K6" s="35"/>
      <c r="L6" s="35"/>
      <c r="M6" s="35"/>
      <c r="N6" s="35"/>
      <c r="O6" s="26"/>
      <c r="P6" s="35" t="str">
        <f t="shared" si="0"/>
        <v>Q1}1. Wie viele Mitarbeiter beschäftigt Ihr Unternehmen?</v>
      </c>
      <c r="Q6" s="35"/>
      <c r="R6" s="35"/>
      <c r="S6" s="35"/>
      <c r="T6" s="35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7"/>
    </row>
    <row r="7" spans="1:42" x14ac:dyDescent="0.25">
      <c r="A7" s="34" t="str">
        <f t="shared" ref="A7:A18" si="1">"Q"&amp;LEFT(B7,FIND(".",B7)-1)</f>
        <v>Q2</v>
      </c>
      <c r="B7" s="34" t="s">
        <v>262</v>
      </c>
      <c r="C7" s="34"/>
      <c r="D7" s="34"/>
      <c r="E7" s="34"/>
      <c r="F7" s="35" t="s">
        <v>263</v>
      </c>
      <c r="G7" s="35" t="str">
        <f>VLOOKUP(A7,V_Variablen,3,FALSE)</f>
        <v xml:space="preserve">q2_01 q2_02 q2_03 q2_04 q2_05 q2_06 q2_07 </v>
      </c>
      <c r="H7" s="35" t="str">
        <f>IF(ISERROR(FIND("_",G7)),"",IF(F7="mdg",LEFT(G7,FIND("_",G7))&amp;"99 "&amp;LEFT(G7,FIND("_",G7))&amp;"00",""))</f>
        <v>q2_99 q2_00</v>
      </c>
      <c r="I7" s="35"/>
      <c r="J7" s="35"/>
      <c r="K7" s="35"/>
      <c r="L7" s="35"/>
      <c r="M7" s="35"/>
      <c r="N7" s="35"/>
      <c r="O7" s="26"/>
      <c r="P7" s="35" t="str">
        <f t="shared" si="0"/>
        <v>Q2}2. Welche Art von Studien führen Sie mit dem Tabellenbandtool durch?' 'DC#SELVALLAB</v>
      </c>
      <c r="Q7" s="35"/>
      <c r="R7" s="35"/>
      <c r="S7" s="35" t="s">
        <v>303</v>
      </c>
      <c r="T7" s="35" t="s">
        <v>304</v>
      </c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7"/>
    </row>
    <row r="8" spans="1:42" x14ac:dyDescent="0.25">
      <c r="A8" s="34" t="str">
        <f t="shared" si="1"/>
        <v>Q3</v>
      </c>
      <c r="B8" s="34" t="s">
        <v>264</v>
      </c>
      <c r="C8" s="34"/>
      <c r="D8" s="34"/>
      <c r="E8" s="34"/>
      <c r="F8" s="35" t="s">
        <v>243</v>
      </c>
      <c r="G8" s="35" t="str">
        <f>VLOOKUP(A8,V_Variablen,3,FALSE)</f>
        <v xml:space="preserve">q3a q3b q3c q3d q3e q3f q3g </v>
      </c>
      <c r="H8" s="35" t="str">
        <f>IF(ISERROR(FIND("_",G8)),"",IF(F8="mdg",LEFT(G8,FIND("_",G8))&amp;"99 "&amp;LEFT(G8,FIND("_",G8))&amp;"00",""))</f>
        <v/>
      </c>
      <c r="I8" s="35"/>
      <c r="J8" s="35"/>
      <c r="K8" s="35"/>
      <c r="L8" s="35"/>
      <c r="M8" s="35"/>
      <c r="N8" s="35" t="s">
        <v>265</v>
      </c>
      <c r="O8" s="26"/>
      <c r="P8" s="35" t="str">
        <f t="shared" si="0"/>
        <v>Q3}3. Wie verteilten sich die Studien prozentual auf die einzelnen Arten?</v>
      </c>
      <c r="Q8" s="35"/>
      <c r="R8" s="35"/>
      <c r="S8" s="35"/>
      <c r="T8" s="35"/>
      <c r="U8" s="26"/>
      <c r="V8" s="26"/>
      <c r="W8" s="26"/>
      <c r="X8" s="26"/>
      <c r="Y8" s="26"/>
      <c r="Z8" s="26"/>
      <c r="AA8" s="26"/>
      <c r="AB8" s="26"/>
      <c r="AC8" s="26"/>
      <c r="AD8" s="14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7"/>
    </row>
    <row r="9" spans="1:42" x14ac:dyDescent="0.25">
      <c r="A9" s="34" t="str">
        <f t="shared" si="1"/>
        <v>Q4</v>
      </c>
      <c r="B9" s="34" t="s">
        <v>266</v>
      </c>
      <c r="C9" s="34"/>
      <c r="D9" s="34"/>
      <c r="E9" s="34"/>
      <c r="F9" s="35" t="s">
        <v>242</v>
      </c>
      <c r="G9" s="35" t="s">
        <v>244</v>
      </c>
      <c r="H9" s="35" t="str">
        <f t="shared" ref="H9:H18" si="2">IF(ISERROR(FIND("_",G9)),"",IF(F9="mdg",LEFT(G9,FIND("_",G9))&amp;"99 "&amp;LEFT(G9,FIND("_",G9))&amp;"00",""))</f>
        <v/>
      </c>
      <c r="I9" s="35"/>
      <c r="J9" s="35" t="s">
        <v>267</v>
      </c>
      <c r="K9" s="35" t="s">
        <v>268</v>
      </c>
      <c r="L9" s="35"/>
      <c r="M9" s="35"/>
      <c r="N9" s="35" t="s">
        <v>269</v>
      </c>
      <c r="O9" s="26"/>
      <c r="P9" s="35" t="str">
        <f t="shared" si="0"/>
        <v xml:space="preserve">Q4}4. Wie häufig haben Sie einen Tabellenband in den letzten 12 Monaten erstellen lassen? </v>
      </c>
      <c r="Q9" s="35"/>
      <c r="R9" s="35"/>
      <c r="S9" s="35"/>
      <c r="T9" s="35"/>
      <c r="U9" s="26"/>
      <c r="V9" s="26"/>
      <c r="W9" s="26"/>
      <c r="X9" s="26"/>
      <c r="Y9" s="26"/>
      <c r="Z9" s="26"/>
      <c r="AA9" s="26"/>
      <c r="AB9" s="26"/>
      <c r="AC9" s="26"/>
      <c r="AD9" s="14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7"/>
    </row>
    <row r="10" spans="1:42" x14ac:dyDescent="0.25">
      <c r="A10" s="34" t="str">
        <f t="shared" si="1"/>
        <v>Q5</v>
      </c>
      <c r="B10" s="34" t="s">
        <v>270</v>
      </c>
      <c r="C10" s="34"/>
      <c r="D10" s="34"/>
      <c r="E10" s="34"/>
      <c r="F10" s="35" t="s">
        <v>271</v>
      </c>
      <c r="G10" s="35" t="s">
        <v>272</v>
      </c>
      <c r="H10" s="35" t="s">
        <v>261</v>
      </c>
      <c r="I10" s="35"/>
      <c r="J10" s="35"/>
      <c r="K10" s="35"/>
      <c r="L10" s="35"/>
      <c r="M10" s="35"/>
      <c r="N10" s="35"/>
      <c r="O10" s="26"/>
      <c r="P10" s="35" t="str">
        <f t="shared" si="0"/>
        <v>Q5}5. Was lief besonders gut in den Projekten?</v>
      </c>
      <c r="Q10" s="35" t="s">
        <v>300</v>
      </c>
      <c r="R10" s="35" t="s">
        <v>305</v>
      </c>
      <c r="S10" s="35"/>
      <c r="T10" s="35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7"/>
    </row>
    <row r="11" spans="1:42" x14ac:dyDescent="0.25">
      <c r="A11" s="34" t="str">
        <f t="shared" si="1"/>
        <v>Q5</v>
      </c>
      <c r="B11" s="34" t="s">
        <v>270</v>
      </c>
      <c r="C11" s="34" t="s">
        <v>273</v>
      </c>
      <c r="D11" s="34">
        <v>2</v>
      </c>
      <c r="E11" s="34"/>
      <c r="F11" s="35" t="s">
        <v>271</v>
      </c>
      <c r="G11" s="35" t="s">
        <v>272</v>
      </c>
      <c r="H11" s="35" t="s">
        <v>261</v>
      </c>
      <c r="I11" s="35" t="s">
        <v>274</v>
      </c>
      <c r="J11" s="35"/>
      <c r="K11" s="35"/>
      <c r="L11" s="35"/>
      <c r="M11" s="35"/>
      <c r="N11" s="35"/>
      <c r="O11" s="26"/>
      <c r="P11" s="35" t="str">
        <f t="shared" si="0"/>
        <v>Q5}5. Was lief besonders gut in den Projekten?</v>
      </c>
      <c r="Q11" s="35" t="s">
        <v>301</v>
      </c>
      <c r="R11" s="35"/>
      <c r="S11" s="35"/>
      <c r="T11" s="35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7"/>
    </row>
    <row r="12" spans="1:42" x14ac:dyDescent="0.25">
      <c r="A12" s="34" t="str">
        <f t="shared" si="1"/>
        <v>Q5</v>
      </c>
      <c r="B12" s="34" t="s">
        <v>270</v>
      </c>
      <c r="C12" s="34" t="s">
        <v>275</v>
      </c>
      <c r="D12" s="34">
        <v>1</v>
      </c>
      <c r="E12" s="34"/>
      <c r="F12" s="35" t="s">
        <v>271</v>
      </c>
      <c r="G12" s="35" t="s">
        <v>272</v>
      </c>
      <c r="H12" s="35" t="s">
        <v>261</v>
      </c>
      <c r="I12" s="35" t="s">
        <v>276</v>
      </c>
      <c r="J12" s="35"/>
      <c r="K12" s="35"/>
      <c r="L12" s="35"/>
      <c r="M12" s="35"/>
      <c r="N12" s="35"/>
      <c r="O12" s="26"/>
      <c r="P12" s="35" t="str">
        <f t="shared" si="0"/>
        <v>Q5}5. Was lief besonders gut in den Projekten?</v>
      </c>
      <c r="Q12" s="35"/>
      <c r="R12" s="35"/>
      <c r="S12" s="35"/>
      <c r="T12" s="35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7"/>
    </row>
    <row r="13" spans="1:42" x14ac:dyDescent="0.25">
      <c r="A13" s="34"/>
      <c r="B13" s="34" t="s">
        <v>277</v>
      </c>
      <c r="C13" s="34"/>
      <c r="D13" s="34"/>
      <c r="E13" s="34"/>
      <c r="F13" s="35" t="s">
        <v>271</v>
      </c>
      <c r="G13" s="35" t="s">
        <v>278</v>
      </c>
      <c r="H13" s="35" t="str">
        <f t="shared" ref="H13" si="3">IF(ISERROR(FIND("_",G13)),"",IF(F13="mdg",LEFT(G13,FIND("_",G13))&amp;"99 "&amp;LEFT(G13,FIND("_",G13))&amp;"00",""))</f>
        <v/>
      </c>
      <c r="I13" s="35"/>
      <c r="J13" s="35"/>
      <c r="K13" s="35"/>
      <c r="L13" s="35"/>
      <c r="M13" s="35"/>
      <c r="N13" s="35"/>
      <c r="O13" s="26"/>
      <c r="P13" s="35" t="str">
        <f t="shared" si="0"/>
        <v>}Abgefragte Studienarten</v>
      </c>
      <c r="Q13" s="35" t="s">
        <v>302</v>
      </c>
      <c r="R13" s="35" t="s">
        <v>306</v>
      </c>
      <c r="S13" s="35"/>
      <c r="T13" s="35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7"/>
    </row>
    <row r="14" spans="1:42" x14ac:dyDescent="0.25">
      <c r="A14" s="34" t="str">
        <f t="shared" si="1"/>
        <v>Q6</v>
      </c>
      <c r="B14" s="34" t="s">
        <v>279</v>
      </c>
      <c r="C14" s="34"/>
      <c r="D14" s="34"/>
      <c r="E14" s="34"/>
      <c r="F14" s="35" t="s">
        <v>243</v>
      </c>
      <c r="G14" s="35" t="s">
        <v>280</v>
      </c>
      <c r="H14" s="35" t="s">
        <v>281</v>
      </c>
      <c r="I14" s="35"/>
      <c r="J14" s="35" t="s">
        <v>282</v>
      </c>
      <c r="K14" s="35" t="s">
        <v>283</v>
      </c>
      <c r="L14" s="35"/>
      <c r="M14" s="35"/>
      <c r="N14" s="35" t="s">
        <v>265</v>
      </c>
      <c r="O14" s="26"/>
      <c r="P14" s="35" t="str">
        <f t="shared" si="0"/>
        <v>Q6}6. Ich nenne Ihnen gleich einige generelle Merkmale, die bei quantitativen Forschungsprojekten eine Rolle spielen. Bitte stufen Sie die Wichtigkeit ein.</v>
      </c>
      <c r="Q14" s="35"/>
      <c r="R14" s="35"/>
      <c r="S14" s="35"/>
      <c r="T14" s="35"/>
      <c r="U14" s="35">
        <v>0</v>
      </c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35" t="s">
        <v>313</v>
      </c>
      <c r="AN14" s="26"/>
      <c r="AO14" s="26"/>
      <c r="AP14" s="27"/>
    </row>
    <row r="15" spans="1:42" x14ac:dyDescent="0.25">
      <c r="A15" s="34" t="str">
        <f t="shared" si="1"/>
        <v>Q7</v>
      </c>
      <c r="B15" s="34" t="s">
        <v>284</v>
      </c>
      <c r="C15" s="34"/>
      <c r="D15" s="34"/>
      <c r="E15" s="34"/>
      <c r="F15" s="35" t="s">
        <v>243</v>
      </c>
      <c r="G15" s="35" t="s">
        <v>285</v>
      </c>
      <c r="H15" s="35" t="s">
        <v>281</v>
      </c>
      <c r="I15" s="35"/>
      <c r="J15" s="35" t="s">
        <v>286</v>
      </c>
      <c r="K15" s="35" t="s">
        <v>287</v>
      </c>
      <c r="L15" s="35"/>
      <c r="M15" s="35"/>
      <c r="N15" s="35" t="s">
        <v>265</v>
      </c>
      <c r="O15" s="26"/>
      <c r="P15" s="35" t="str">
        <f t="shared" si="0"/>
        <v>Q7}7. Für die abgefragten Studienarten: Wie zufrieden sind Sie mit dem Tabellenbandtool bezüglich der eben abgefragten Merkmale?' 'DC#SELVALLAB</v>
      </c>
      <c r="Q15" s="35"/>
      <c r="R15" s="35"/>
      <c r="S15" s="35" t="s">
        <v>278</v>
      </c>
      <c r="T15" s="35" t="s">
        <v>307</v>
      </c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35" t="s">
        <v>314</v>
      </c>
      <c r="AN15" s="26"/>
      <c r="AO15" s="26"/>
      <c r="AP15" s="27"/>
    </row>
    <row r="16" spans="1:42" x14ac:dyDescent="0.25">
      <c r="A16" s="34" t="str">
        <f t="shared" si="1"/>
        <v>Q8</v>
      </c>
      <c r="B16" s="34" t="s">
        <v>288</v>
      </c>
      <c r="C16" s="34"/>
      <c r="D16" s="34"/>
      <c r="E16" s="34"/>
      <c r="F16" s="35" t="s">
        <v>242</v>
      </c>
      <c r="G16" s="35" t="s">
        <v>289</v>
      </c>
      <c r="H16" s="35" t="s">
        <v>281</v>
      </c>
      <c r="I16" s="35"/>
      <c r="J16" s="35" t="s">
        <v>290</v>
      </c>
      <c r="K16" s="35" t="s">
        <v>291</v>
      </c>
      <c r="L16" s="35"/>
      <c r="M16" s="35"/>
      <c r="N16" s="35" t="s">
        <v>265</v>
      </c>
      <c r="O16" s="26"/>
      <c r="P16" s="35" t="str">
        <f t="shared" si="0"/>
        <v>Q8}8. Wie zufrieden sind Sie mit dem Tabellenbandtool insgesamt?' 'DC#SELVALLAB</v>
      </c>
      <c r="Q16" s="35"/>
      <c r="R16" s="35"/>
      <c r="S16" s="35" t="s">
        <v>278</v>
      </c>
      <c r="T16" s="35" t="s">
        <v>307</v>
      </c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7"/>
    </row>
    <row r="17" spans="1:42" x14ac:dyDescent="0.25">
      <c r="A17" s="34" t="str">
        <f t="shared" si="1"/>
        <v>Q9</v>
      </c>
      <c r="B17" s="34" t="s">
        <v>292</v>
      </c>
      <c r="C17" s="34"/>
      <c r="D17" s="34"/>
      <c r="E17" s="34"/>
      <c r="F17" s="35" t="s">
        <v>242</v>
      </c>
      <c r="G17" s="35" t="s">
        <v>293</v>
      </c>
      <c r="H17" s="35" t="s">
        <v>281</v>
      </c>
      <c r="I17" s="35"/>
      <c r="J17" s="35" t="s">
        <v>294</v>
      </c>
      <c r="K17" s="35" t="s">
        <v>295</v>
      </c>
      <c r="L17" s="35"/>
      <c r="M17" s="35"/>
      <c r="N17" s="35"/>
      <c r="O17" s="26"/>
      <c r="P17" s="35" t="str">
        <f t="shared" si="0"/>
        <v>Q9}9. Würden Sie das Tabellenbandtool weiterempfehlen?' 'DC#SELVALLAB</v>
      </c>
      <c r="Q17" s="35"/>
      <c r="R17" s="35"/>
      <c r="S17" s="35" t="s">
        <v>278</v>
      </c>
      <c r="T17" s="35" t="s">
        <v>307</v>
      </c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7"/>
    </row>
    <row r="18" spans="1:42" x14ac:dyDescent="0.25">
      <c r="A18" s="34" t="str">
        <f t="shared" si="1"/>
        <v>Q10</v>
      </c>
      <c r="B18" s="34" t="s">
        <v>296</v>
      </c>
      <c r="C18" s="34"/>
      <c r="D18" s="34"/>
      <c r="E18" s="34"/>
      <c r="F18" s="35" t="s">
        <v>242</v>
      </c>
      <c r="G18" s="35" t="s">
        <v>297</v>
      </c>
      <c r="H18" s="35"/>
      <c r="I18" s="35"/>
      <c r="J18" s="35" t="s">
        <v>298</v>
      </c>
      <c r="K18" s="35" t="s">
        <v>299</v>
      </c>
      <c r="L18" s="35"/>
      <c r="M18" s="35"/>
      <c r="N18" s="35" t="s">
        <v>269</v>
      </c>
      <c r="O18" s="26"/>
      <c r="P18" s="35" t="str">
        <f t="shared" si="0"/>
        <v>Q10}10. Dürfte ich Sie noch nach Ihrem Alter fragen?</v>
      </c>
      <c r="Q18" s="35"/>
      <c r="R18" s="35"/>
      <c r="S18" s="35"/>
      <c r="T18" s="35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7"/>
    </row>
    <row r="19" spans="1:42" x14ac:dyDescent="0.25">
      <c r="C19" s="2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7"/>
    </row>
    <row r="20" spans="1:42" x14ac:dyDescent="0.25">
      <c r="C20" s="2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7"/>
    </row>
    <row r="21" spans="1:42" x14ac:dyDescent="0.25">
      <c r="C21" s="2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7"/>
    </row>
    <row r="22" spans="1:42" x14ac:dyDescent="0.25">
      <c r="C22" s="2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7"/>
    </row>
    <row r="23" spans="1:42" x14ac:dyDescent="0.25">
      <c r="C23" s="2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7"/>
    </row>
    <row r="24" spans="1:42" x14ac:dyDescent="0.25">
      <c r="C24" s="2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7"/>
    </row>
    <row r="25" spans="1:42" x14ac:dyDescent="0.25">
      <c r="C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7"/>
    </row>
    <row r="26" spans="1:42" x14ac:dyDescent="0.25">
      <c r="C26" s="2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7"/>
    </row>
    <row r="27" spans="1:42" x14ac:dyDescent="0.25">
      <c r="C27" s="2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7"/>
    </row>
    <row r="28" spans="1:42" x14ac:dyDescent="0.25">
      <c r="C28" s="2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7"/>
    </row>
    <row r="29" spans="1:42" x14ac:dyDescent="0.25">
      <c r="C29" s="2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7"/>
    </row>
    <row r="30" spans="1:42" x14ac:dyDescent="0.25">
      <c r="C30" s="2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7"/>
    </row>
    <row r="31" spans="1:42" x14ac:dyDescent="0.25">
      <c r="C31" s="2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7"/>
    </row>
    <row r="32" spans="1:42" x14ac:dyDescent="0.25">
      <c r="C32" s="2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7"/>
    </row>
    <row r="33" spans="3:42" x14ac:dyDescent="0.25">
      <c r="C33" s="2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7"/>
    </row>
    <row r="34" spans="3:42" x14ac:dyDescent="0.25">
      <c r="C34" s="2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7"/>
    </row>
    <row r="35" spans="3:42" x14ac:dyDescent="0.25">
      <c r="C35" s="2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7"/>
    </row>
    <row r="36" spans="3:42" x14ac:dyDescent="0.25">
      <c r="C36" s="2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7"/>
    </row>
    <row r="37" spans="3:42" x14ac:dyDescent="0.25">
      <c r="C37" s="2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7"/>
    </row>
    <row r="38" spans="3:42" x14ac:dyDescent="0.25">
      <c r="C38" s="2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7"/>
    </row>
    <row r="39" spans="3:42" x14ac:dyDescent="0.25">
      <c r="C39" s="2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7"/>
    </row>
    <row r="40" spans="3:42" x14ac:dyDescent="0.25">
      <c r="C40" s="2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3:42" x14ac:dyDescent="0.25">
      <c r="C41" s="2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7"/>
    </row>
    <row r="42" spans="3:42" x14ac:dyDescent="0.25">
      <c r="C42" s="2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7"/>
    </row>
    <row r="43" spans="3:42" x14ac:dyDescent="0.25">
      <c r="C43" s="2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7"/>
    </row>
    <row r="44" spans="3:42" x14ac:dyDescent="0.25">
      <c r="C44" s="2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7"/>
    </row>
    <row r="45" spans="3:42" x14ac:dyDescent="0.25">
      <c r="C45" s="2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7"/>
    </row>
    <row r="46" spans="3:42" x14ac:dyDescent="0.25">
      <c r="C46" s="2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7"/>
    </row>
    <row r="47" spans="3:42" x14ac:dyDescent="0.25">
      <c r="C47" s="2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7"/>
    </row>
    <row r="48" spans="3:42" x14ac:dyDescent="0.25">
      <c r="C48" s="2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7"/>
    </row>
    <row r="49" spans="3:42" x14ac:dyDescent="0.25">
      <c r="C49" s="2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7"/>
    </row>
    <row r="50" spans="3:42" x14ac:dyDescent="0.25">
      <c r="C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7"/>
    </row>
    <row r="51" spans="3:42" x14ac:dyDescent="0.25">
      <c r="C51" s="2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7"/>
    </row>
    <row r="52" spans="3:42" x14ac:dyDescent="0.25">
      <c r="C52" s="2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7"/>
    </row>
    <row r="53" spans="3:42" x14ac:dyDescent="0.25">
      <c r="C53" s="22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7"/>
    </row>
    <row r="54" spans="3:42" x14ac:dyDescent="0.25">
      <c r="C54" s="22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7"/>
    </row>
    <row r="55" spans="3:42" x14ac:dyDescent="0.25">
      <c r="C55" s="22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7"/>
    </row>
    <row r="56" spans="3:42" x14ac:dyDescent="0.25">
      <c r="C56" s="22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7"/>
    </row>
    <row r="57" spans="3:42" x14ac:dyDescent="0.25">
      <c r="C57" s="22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7"/>
    </row>
    <row r="58" spans="3:42" x14ac:dyDescent="0.25">
      <c r="C58" s="22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7"/>
    </row>
    <row r="59" spans="3:42" x14ac:dyDescent="0.25">
      <c r="C59" s="22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7"/>
    </row>
    <row r="60" spans="3:42" x14ac:dyDescent="0.25">
      <c r="C60" s="22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7"/>
    </row>
    <row r="61" spans="3:42" x14ac:dyDescent="0.25">
      <c r="C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7"/>
    </row>
    <row r="62" spans="3:42" x14ac:dyDescent="0.25">
      <c r="C62" s="22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7"/>
    </row>
    <row r="63" spans="3:42" x14ac:dyDescent="0.25">
      <c r="C63" s="22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7"/>
    </row>
    <row r="64" spans="3:42" x14ac:dyDescent="0.25">
      <c r="C64" s="22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7"/>
    </row>
    <row r="65" spans="3:42" x14ac:dyDescent="0.25">
      <c r="C65" s="22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7"/>
    </row>
    <row r="66" spans="3:42" x14ac:dyDescent="0.25">
      <c r="C66" s="22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7"/>
    </row>
    <row r="67" spans="3:42" x14ac:dyDescent="0.25">
      <c r="C67" s="22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7"/>
    </row>
    <row r="68" spans="3:42" x14ac:dyDescent="0.25">
      <c r="C68" s="22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7"/>
    </row>
    <row r="69" spans="3:42" x14ac:dyDescent="0.25">
      <c r="C69" s="22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7"/>
    </row>
    <row r="70" spans="3:42" x14ac:dyDescent="0.25">
      <c r="C70" s="22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7"/>
    </row>
    <row r="71" spans="3:42" x14ac:dyDescent="0.25">
      <c r="C71" s="22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7"/>
    </row>
    <row r="72" spans="3:42" x14ac:dyDescent="0.25">
      <c r="C72" s="22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7"/>
    </row>
    <row r="73" spans="3:42" x14ac:dyDescent="0.25">
      <c r="C73" s="22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7"/>
    </row>
    <row r="74" spans="3:42" x14ac:dyDescent="0.25">
      <c r="C74" s="22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7"/>
    </row>
    <row r="75" spans="3:42" x14ac:dyDescent="0.25">
      <c r="C75" s="22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7"/>
    </row>
    <row r="76" spans="3:42" x14ac:dyDescent="0.25">
      <c r="C76" s="22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7"/>
    </row>
    <row r="77" spans="3:42" x14ac:dyDescent="0.25">
      <c r="C77" s="22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7"/>
    </row>
    <row r="78" spans="3:42" x14ac:dyDescent="0.25">
      <c r="C78" s="22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7"/>
    </row>
    <row r="79" spans="3:42" x14ac:dyDescent="0.25">
      <c r="C79" s="22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7"/>
    </row>
    <row r="80" spans="3:42" x14ac:dyDescent="0.25">
      <c r="C80" s="22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7"/>
    </row>
    <row r="81" spans="3:42" x14ac:dyDescent="0.25">
      <c r="C81" s="22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7"/>
    </row>
    <row r="82" spans="3:42" x14ac:dyDescent="0.25">
      <c r="C82" s="22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7"/>
    </row>
    <row r="83" spans="3:42" x14ac:dyDescent="0.25">
      <c r="C83" s="22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7"/>
    </row>
    <row r="84" spans="3:42" x14ac:dyDescent="0.25">
      <c r="C84" s="22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7"/>
    </row>
    <row r="85" spans="3:42" x14ac:dyDescent="0.25">
      <c r="C85" s="22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7"/>
    </row>
    <row r="86" spans="3:42" x14ac:dyDescent="0.25">
      <c r="C86" s="22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7"/>
    </row>
    <row r="87" spans="3:42" x14ac:dyDescent="0.25">
      <c r="C87" s="22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7"/>
    </row>
    <row r="88" spans="3:42" x14ac:dyDescent="0.25">
      <c r="C88" s="22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7"/>
    </row>
    <row r="89" spans="3:42" x14ac:dyDescent="0.25">
      <c r="C89" s="22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7"/>
    </row>
    <row r="90" spans="3:42" x14ac:dyDescent="0.25">
      <c r="C90" s="22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7"/>
    </row>
    <row r="91" spans="3:42" x14ac:dyDescent="0.25">
      <c r="C91" s="22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7"/>
    </row>
    <row r="92" spans="3:42" x14ac:dyDescent="0.25">
      <c r="C92" s="22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7"/>
    </row>
    <row r="93" spans="3:42" x14ac:dyDescent="0.25">
      <c r="C93" s="22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7"/>
    </row>
    <row r="94" spans="3:42" x14ac:dyDescent="0.25">
      <c r="C94" s="22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7"/>
    </row>
    <row r="95" spans="3:42" x14ac:dyDescent="0.25">
      <c r="C95" s="22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7"/>
    </row>
    <row r="96" spans="3:42" x14ac:dyDescent="0.25">
      <c r="C96" s="22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7"/>
    </row>
    <row r="97" spans="3:42" x14ac:dyDescent="0.25">
      <c r="C97" s="22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7"/>
    </row>
    <row r="98" spans="3:42" x14ac:dyDescent="0.25">
      <c r="C98" s="22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7"/>
    </row>
    <row r="99" spans="3:42" x14ac:dyDescent="0.25">
      <c r="C99" s="22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7"/>
    </row>
    <row r="100" spans="3:42" x14ac:dyDescent="0.25">
      <c r="C100" s="22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7"/>
    </row>
    <row r="101" spans="3:42" x14ac:dyDescent="0.25">
      <c r="C101" s="22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7"/>
    </row>
    <row r="102" spans="3:42" x14ac:dyDescent="0.25">
      <c r="C102" s="22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7"/>
    </row>
    <row r="103" spans="3:42" x14ac:dyDescent="0.25">
      <c r="C103" s="22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7"/>
    </row>
    <row r="104" spans="3:42" x14ac:dyDescent="0.25">
      <c r="C104" s="22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7"/>
    </row>
    <row r="105" spans="3:42" x14ac:dyDescent="0.25">
      <c r="C105" s="22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7"/>
    </row>
    <row r="106" spans="3:42" x14ac:dyDescent="0.25">
      <c r="C106" s="22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7"/>
    </row>
    <row r="107" spans="3:42" x14ac:dyDescent="0.25">
      <c r="C107" s="22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7"/>
    </row>
    <row r="108" spans="3:42" x14ac:dyDescent="0.25">
      <c r="C108" s="22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7"/>
    </row>
    <row r="109" spans="3:42" x14ac:dyDescent="0.25">
      <c r="C109" s="22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7"/>
    </row>
    <row r="110" spans="3:42" x14ac:dyDescent="0.25">
      <c r="C110" s="22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7"/>
    </row>
    <row r="111" spans="3:42" x14ac:dyDescent="0.25">
      <c r="C111" s="22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7"/>
    </row>
    <row r="112" spans="3:42" x14ac:dyDescent="0.25">
      <c r="C112" s="22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7"/>
    </row>
    <row r="113" spans="3:42" x14ac:dyDescent="0.25">
      <c r="C113" s="22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7"/>
    </row>
    <row r="114" spans="3:42" x14ac:dyDescent="0.25">
      <c r="C114" s="22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7"/>
    </row>
    <row r="115" spans="3:42" x14ac:dyDescent="0.25">
      <c r="C115" s="22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7"/>
    </row>
    <row r="116" spans="3:42" x14ac:dyDescent="0.25">
      <c r="C116" s="22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7"/>
    </row>
    <row r="117" spans="3:42" x14ac:dyDescent="0.25">
      <c r="C117" s="22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7"/>
    </row>
    <row r="118" spans="3:42" x14ac:dyDescent="0.25">
      <c r="C118" s="22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7"/>
    </row>
    <row r="119" spans="3:42" x14ac:dyDescent="0.25">
      <c r="C119" s="22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7"/>
    </row>
    <row r="120" spans="3:42" x14ac:dyDescent="0.25">
      <c r="C120" s="22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7"/>
    </row>
    <row r="121" spans="3:42" x14ac:dyDescent="0.25">
      <c r="C121" s="22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7"/>
    </row>
    <row r="122" spans="3:42" x14ac:dyDescent="0.25">
      <c r="C122" s="22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7"/>
    </row>
    <row r="123" spans="3:42" x14ac:dyDescent="0.25">
      <c r="C123" s="22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7"/>
    </row>
    <row r="124" spans="3:42" x14ac:dyDescent="0.25">
      <c r="C124" s="22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7"/>
    </row>
    <row r="125" spans="3:42" x14ac:dyDescent="0.25">
      <c r="C125" s="22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7"/>
    </row>
    <row r="126" spans="3:42" x14ac:dyDescent="0.25">
      <c r="C126" s="22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7"/>
    </row>
    <row r="127" spans="3:42" x14ac:dyDescent="0.25">
      <c r="C127" s="22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7"/>
    </row>
    <row r="128" spans="3:42" x14ac:dyDescent="0.25">
      <c r="C128" s="22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7"/>
    </row>
    <row r="129" spans="3:42" x14ac:dyDescent="0.25">
      <c r="C129" s="22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7"/>
    </row>
    <row r="130" spans="3:42" x14ac:dyDescent="0.25">
      <c r="C130" s="22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7"/>
    </row>
    <row r="131" spans="3:42" x14ac:dyDescent="0.25">
      <c r="C131" s="22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7"/>
    </row>
    <row r="132" spans="3:42" x14ac:dyDescent="0.25">
      <c r="C132" s="22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7"/>
    </row>
    <row r="133" spans="3:42" x14ac:dyDescent="0.25">
      <c r="C133" s="22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7"/>
    </row>
    <row r="134" spans="3:42" x14ac:dyDescent="0.25">
      <c r="C134" s="22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7"/>
    </row>
    <row r="135" spans="3:42" x14ac:dyDescent="0.25">
      <c r="C135" s="22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7"/>
    </row>
    <row r="136" spans="3:42" x14ac:dyDescent="0.25">
      <c r="C136" s="22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7"/>
    </row>
    <row r="137" spans="3:42" x14ac:dyDescent="0.25">
      <c r="C137" s="22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7"/>
    </row>
    <row r="138" spans="3:42" x14ac:dyDescent="0.25">
      <c r="C138" s="22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7"/>
    </row>
    <row r="139" spans="3:42" x14ac:dyDescent="0.25">
      <c r="C139" s="22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7"/>
    </row>
    <row r="140" spans="3:42" x14ac:dyDescent="0.25">
      <c r="C140" s="22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7"/>
    </row>
    <row r="141" spans="3:42" x14ac:dyDescent="0.25">
      <c r="C141" s="22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7"/>
    </row>
    <row r="142" spans="3:42" x14ac:dyDescent="0.25">
      <c r="C142" s="22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7"/>
    </row>
    <row r="143" spans="3:42" x14ac:dyDescent="0.25">
      <c r="C143" s="22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7"/>
    </row>
    <row r="144" spans="3:42" x14ac:dyDescent="0.25">
      <c r="C144" s="22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7"/>
    </row>
    <row r="145" spans="3:42" x14ac:dyDescent="0.25">
      <c r="C145" s="22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7"/>
    </row>
    <row r="146" spans="3:42" x14ac:dyDescent="0.25">
      <c r="C146" s="22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7"/>
    </row>
    <row r="147" spans="3:42" x14ac:dyDescent="0.25">
      <c r="C147" s="22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7"/>
    </row>
    <row r="148" spans="3:42" x14ac:dyDescent="0.25">
      <c r="C148" s="22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7"/>
    </row>
    <row r="149" spans="3:42" x14ac:dyDescent="0.25">
      <c r="C149" s="22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7"/>
    </row>
    <row r="150" spans="3:42" x14ac:dyDescent="0.25">
      <c r="C150" s="22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7"/>
    </row>
    <row r="151" spans="3:42" x14ac:dyDescent="0.25">
      <c r="C151" s="22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7"/>
    </row>
    <row r="152" spans="3:42" x14ac:dyDescent="0.25">
      <c r="C152" s="22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7"/>
    </row>
    <row r="153" spans="3:42" x14ac:dyDescent="0.25">
      <c r="C153" s="22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7"/>
    </row>
    <row r="154" spans="3:42" x14ac:dyDescent="0.25">
      <c r="C154" s="22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7"/>
    </row>
    <row r="155" spans="3:42" x14ac:dyDescent="0.25">
      <c r="C155" s="22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7"/>
    </row>
    <row r="156" spans="3:42" x14ac:dyDescent="0.25">
      <c r="C156" s="22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7"/>
    </row>
    <row r="157" spans="3:42" x14ac:dyDescent="0.25">
      <c r="C157" s="22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7"/>
    </row>
    <row r="158" spans="3:42" x14ac:dyDescent="0.25">
      <c r="C158" s="22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7"/>
    </row>
    <row r="159" spans="3:42" x14ac:dyDescent="0.25">
      <c r="C159" s="22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7"/>
    </row>
    <row r="160" spans="3:42" x14ac:dyDescent="0.25">
      <c r="C160" s="22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7"/>
    </row>
    <row r="161" spans="3:42" x14ac:dyDescent="0.25">
      <c r="C161" s="22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7"/>
    </row>
    <row r="162" spans="3:42" x14ac:dyDescent="0.25">
      <c r="C162" s="22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7"/>
    </row>
    <row r="163" spans="3:42" x14ac:dyDescent="0.25">
      <c r="C163" s="22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7"/>
    </row>
    <row r="164" spans="3:42" x14ac:dyDescent="0.25">
      <c r="C164" s="22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7"/>
    </row>
    <row r="165" spans="3:42" x14ac:dyDescent="0.25">
      <c r="C165" s="22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7"/>
    </row>
    <row r="166" spans="3:42" x14ac:dyDescent="0.25">
      <c r="C166" s="22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7"/>
    </row>
    <row r="167" spans="3:42" x14ac:dyDescent="0.25">
      <c r="C167" s="22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7"/>
    </row>
    <row r="168" spans="3:42" x14ac:dyDescent="0.25">
      <c r="C168" s="22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7"/>
    </row>
    <row r="169" spans="3:42" x14ac:dyDescent="0.25">
      <c r="C169" s="22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7"/>
    </row>
    <row r="170" spans="3:42" x14ac:dyDescent="0.25">
      <c r="C170" s="22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7"/>
    </row>
    <row r="171" spans="3:42" x14ac:dyDescent="0.25">
      <c r="C171" s="22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7"/>
    </row>
    <row r="172" spans="3:42" x14ac:dyDescent="0.25">
      <c r="C172" s="22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7"/>
    </row>
    <row r="173" spans="3:42" x14ac:dyDescent="0.25">
      <c r="C173" s="22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7"/>
    </row>
    <row r="174" spans="3:42" x14ac:dyDescent="0.25">
      <c r="C174" s="22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7"/>
    </row>
    <row r="175" spans="3:42" x14ac:dyDescent="0.25">
      <c r="C175" s="22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7"/>
    </row>
    <row r="176" spans="3:42" x14ac:dyDescent="0.25">
      <c r="C176" s="22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7"/>
    </row>
    <row r="177" spans="3:42" x14ac:dyDescent="0.25">
      <c r="C177" s="22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7"/>
    </row>
    <row r="178" spans="3:42" x14ac:dyDescent="0.25">
      <c r="C178" s="22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7"/>
    </row>
    <row r="179" spans="3:42" x14ac:dyDescent="0.25">
      <c r="C179" s="22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7"/>
    </row>
    <row r="180" spans="3:42" x14ac:dyDescent="0.25">
      <c r="C180" s="22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7"/>
    </row>
    <row r="181" spans="3:42" x14ac:dyDescent="0.25">
      <c r="C181" s="22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7"/>
    </row>
    <row r="182" spans="3:42" x14ac:dyDescent="0.25">
      <c r="C182" s="22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7"/>
    </row>
    <row r="183" spans="3:42" x14ac:dyDescent="0.25">
      <c r="C183" s="22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7"/>
    </row>
    <row r="184" spans="3:42" x14ac:dyDescent="0.25">
      <c r="C184" s="22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7"/>
    </row>
    <row r="185" spans="3:42" x14ac:dyDescent="0.25">
      <c r="C185" s="22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7"/>
    </row>
    <row r="186" spans="3:42" x14ac:dyDescent="0.25">
      <c r="C186" s="22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7"/>
    </row>
    <row r="187" spans="3:42" x14ac:dyDescent="0.25">
      <c r="C187" s="22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7"/>
    </row>
    <row r="188" spans="3:42" x14ac:dyDescent="0.25">
      <c r="C188" s="22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7"/>
    </row>
    <row r="189" spans="3:42" x14ac:dyDescent="0.25">
      <c r="C189" s="22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7"/>
    </row>
    <row r="190" spans="3:42" x14ac:dyDescent="0.25">
      <c r="C190" s="22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7"/>
    </row>
    <row r="191" spans="3:42" x14ac:dyDescent="0.25">
      <c r="C191" s="22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7"/>
    </row>
    <row r="192" spans="3:42" x14ac:dyDescent="0.25">
      <c r="C192" s="22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7"/>
    </row>
    <row r="193" spans="3:42" x14ac:dyDescent="0.25">
      <c r="C193" s="22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7"/>
    </row>
    <row r="194" spans="3:42" x14ac:dyDescent="0.25">
      <c r="C194" s="22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7"/>
    </row>
    <row r="195" spans="3:42" x14ac:dyDescent="0.25">
      <c r="C195" s="22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7"/>
    </row>
    <row r="196" spans="3:42" x14ac:dyDescent="0.25">
      <c r="C196" s="22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7"/>
    </row>
    <row r="197" spans="3:42" x14ac:dyDescent="0.25">
      <c r="C197" s="22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7"/>
    </row>
    <row r="198" spans="3:42" x14ac:dyDescent="0.25">
      <c r="C198" s="22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7"/>
    </row>
    <row r="199" spans="3:42" x14ac:dyDescent="0.25">
      <c r="C199" s="22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7"/>
    </row>
    <row r="200" spans="3:42" x14ac:dyDescent="0.25">
      <c r="C200" s="22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7"/>
    </row>
    <row r="201" spans="3:42" x14ac:dyDescent="0.25">
      <c r="C201" s="22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7"/>
    </row>
    <row r="202" spans="3:42" x14ac:dyDescent="0.25">
      <c r="C202" s="22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7"/>
    </row>
    <row r="203" spans="3:42" x14ac:dyDescent="0.25">
      <c r="C203" s="22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7"/>
    </row>
    <row r="204" spans="3:42" x14ac:dyDescent="0.25">
      <c r="C204" s="22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7"/>
    </row>
    <row r="205" spans="3:42" x14ac:dyDescent="0.25">
      <c r="C205" s="22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7"/>
    </row>
    <row r="206" spans="3:42" x14ac:dyDescent="0.25">
      <c r="C206" s="22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7"/>
    </row>
    <row r="207" spans="3:42" x14ac:dyDescent="0.25">
      <c r="C207" s="22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7"/>
    </row>
    <row r="208" spans="3:42" x14ac:dyDescent="0.25">
      <c r="C208" s="22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7"/>
    </row>
    <row r="209" spans="3:42" x14ac:dyDescent="0.25">
      <c r="C209" s="22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7"/>
    </row>
    <row r="210" spans="3:42" x14ac:dyDescent="0.25">
      <c r="C210" s="22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7"/>
    </row>
    <row r="211" spans="3:42" x14ac:dyDescent="0.25">
      <c r="C211" s="22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7"/>
    </row>
    <row r="212" spans="3:42" x14ac:dyDescent="0.25">
      <c r="C212" s="22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7"/>
    </row>
    <row r="213" spans="3:42" x14ac:dyDescent="0.25">
      <c r="C213" s="22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7"/>
    </row>
    <row r="214" spans="3:42" x14ac:dyDescent="0.25">
      <c r="C214" s="22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7"/>
    </row>
    <row r="215" spans="3:42" x14ac:dyDescent="0.25">
      <c r="C215" s="22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7"/>
    </row>
    <row r="216" spans="3:42" x14ac:dyDescent="0.25">
      <c r="C216" s="22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7"/>
    </row>
    <row r="217" spans="3:42" x14ac:dyDescent="0.25">
      <c r="C217" s="22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7"/>
    </row>
    <row r="218" spans="3:42" x14ac:dyDescent="0.25">
      <c r="C218" s="22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7"/>
    </row>
    <row r="219" spans="3:42" x14ac:dyDescent="0.25">
      <c r="C219" s="22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7"/>
    </row>
    <row r="220" spans="3:42" x14ac:dyDescent="0.25">
      <c r="C220" s="22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7"/>
    </row>
    <row r="221" spans="3:42" x14ac:dyDescent="0.25">
      <c r="C221" s="22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7"/>
    </row>
    <row r="222" spans="3:42" x14ac:dyDescent="0.25">
      <c r="C222" s="22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7"/>
    </row>
    <row r="223" spans="3:42" x14ac:dyDescent="0.25">
      <c r="C223" s="22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7"/>
    </row>
    <row r="224" spans="3:42" x14ac:dyDescent="0.25">
      <c r="C224" s="22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7"/>
    </row>
    <row r="225" spans="3:42" x14ac:dyDescent="0.25">
      <c r="C225" s="22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7"/>
    </row>
    <row r="226" spans="3:42" x14ac:dyDescent="0.25">
      <c r="C226" s="22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7"/>
    </row>
    <row r="227" spans="3:42" x14ac:dyDescent="0.25">
      <c r="C227" s="22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7"/>
    </row>
    <row r="228" spans="3:42" x14ac:dyDescent="0.25">
      <c r="C228" s="22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7"/>
    </row>
    <row r="229" spans="3:42" x14ac:dyDescent="0.25">
      <c r="C229" s="22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7"/>
    </row>
    <row r="230" spans="3:42" x14ac:dyDescent="0.25">
      <c r="C230" s="22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7"/>
    </row>
    <row r="231" spans="3:42" x14ac:dyDescent="0.25">
      <c r="C231" s="22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7"/>
    </row>
    <row r="232" spans="3:42" x14ac:dyDescent="0.25">
      <c r="C232" s="22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7"/>
    </row>
    <row r="233" spans="3:42" x14ac:dyDescent="0.25">
      <c r="C233" s="22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7"/>
    </row>
    <row r="234" spans="3:42" x14ac:dyDescent="0.25">
      <c r="C234" s="22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7"/>
    </row>
    <row r="235" spans="3:42" x14ac:dyDescent="0.25">
      <c r="C235" s="22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7"/>
    </row>
    <row r="236" spans="3:42" x14ac:dyDescent="0.25">
      <c r="C236" s="22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7"/>
    </row>
    <row r="237" spans="3:42" x14ac:dyDescent="0.25">
      <c r="C237" s="22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7"/>
    </row>
    <row r="238" spans="3:42" x14ac:dyDescent="0.25">
      <c r="C238" s="22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7"/>
    </row>
    <row r="239" spans="3:42" x14ac:dyDescent="0.25">
      <c r="C239" s="22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7"/>
    </row>
    <row r="240" spans="3:42" x14ac:dyDescent="0.25">
      <c r="C240" s="22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7"/>
    </row>
    <row r="241" spans="3:42" x14ac:dyDescent="0.25">
      <c r="C241" s="22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7"/>
    </row>
    <row r="242" spans="3:42" x14ac:dyDescent="0.25">
      <c r="C242" s="22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7"/>
    </row>
    <row r="243" spans="3:42" x14ac:dyDescent="0.25">
      <c r="C243" s="22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7"/>
    </row>
    <row r="244" spans="3:42" x14ac:dyDescent="0.25">
      <c r="C244" s="22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7"/>
    </row>
    <row r="245" spans="3:42" x14ac:dyDescent="0.25">
      <c r="C245" s="22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7"/>
    </row>
    <row r="246" spans="3:42" x14ac:dyDescent="0.25">
      <c r="C246" s="22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7"/>
    </row>
    <row r="247" spans="3:42" x14ac:dyDescent="0.25">
      <c r="C247" s="22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7"/>
    </row>
    <row r="248" spans="3:42" x14ac:dyDescent="0.25">
      <c r="C248" s="22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7"/>
    </row>
    <row r="249" spans="3:42" x14ac:dyDescent="0.25">
      <c r="C249" s="22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7"/>
    </row>
    <row r="250" spans="3:42" x14ac:dyDescent="0.25">
      <c r="C250" s="22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7"/>
    </row>
    <row r="251" spans="3:42" x14ac:dyDescent="0.25">
      <c r="C251" s="22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7"/>
    </row>
    <row r="252" spans="3:42" x14ac:dyDescent="0.25">
      <c r="C252" s="22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7"/>
    </row>
    <row r="253" spans="3:42" x14ac:dyDescent="0.25">
      <c r="C253" s="22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7"/>
    </row>
    <row r="254" spans="3:42" x14ac:dyDescent="0.25">
      <c r="C254" s="22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7"/>
    </row>
    <row r="255" spans="3:42" x14ac:dyDescent="0.25">
      <c r="C255" s="22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7"/>
    </row>
    <row r="256" spans="3:42" x14ac:dyDescent="0.25">
      <c r="C256" s="22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7"/>
    </row>
    <row r="257" spans="3:42" x14ac:dyDescent="0.25">
      <c r="C257" s="22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7"/>
    </row>
    <row r="258" spans="3:42" x14ac:dyDescent="0.25">
      <c r="C258" s="22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7"/>
    </row>
    <row r="259" spans="3:42" x14ac:dyDescent="0.25">
      <c r="C259" s="22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7"/>
    </row>
    <row r="260" spans="3:42" x14ac:dyDescent="0.25">
      <c r="C260" s="22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7"/>
    </row>
    <row r="261" spans="3:42" x14ac:dyDescent="0.25">
      <c r="C261" s="22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7"/>
    </row>
    <row r="262" spans="3:42" x14ac:dyDescent="0.25">
      <c r="C262" s="22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7"/>
    </row>
    <row r="263" spans="3:42" x14ac:dyDescent="0.25">
      <c r="C263" s="22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7"/>
    </row>
    <row r="264" spans="3:42" x14ac:dyDescent="0.25">
      <c r="C264" s="22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7"/>
    </row>
    <row r="265" spans="3:42" x14ac:dyDescent="0.25">
      <c r="C265" s="22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7"/>
    </row>
    <row r="266" spans="3:42" x14ac:dyDescent="0.25">
      <c r="C266" s="22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7"/>
    </row>
    <row r="267" spans="3:42" x14ac:dyDescent="0.25">
      <c r="C267" s="22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7"/>
    </row>
    <row r="268" spans="3:42" x14ac:dyDescent="0.25">
      <c r="C268" s="22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7"/>
    </row>
    <row r="269" spans="3:42" x14ac:dyDescent="0.25">
      <c r="C269" s="22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7"/>
    </row>
    <row r="270" spans="3:42" x14ac:dyDescent="0.25">
      <c r="C270" s="22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7"/>
    </row>
    <row r="271" spans="3:42" x14ac:dyDescent="0.25">
      <c r="C271" s="22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7"/>
    </row>
    <row r="272" spans="3:42" x14ac:dyDescent="0.25">
      <c r="C272" s="22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7"/>
    </row>
    <row r="273" spans="3:42" x14ac:dyDescent="0.25">
      <c r="C273" s="22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7"/>
    </row>
    <row r="274" spans="3:42" x14ac:dyDescent="0.25">
      <c r="C274" s="22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7"/>
    </row>
    <row r="275" spans="3:42" x14ac:dyDescent="0.25">
      <c r="C275" s="22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7"/>
    </row>
    <row r="276" spans="3:42" x14ac:dyDescent="0.25">
      <c r="C276" s="22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7"/>
    </row>
    <row r="277" spans="3:42" x14ac:dyDescent="0.25">
      <c r="C277" s="22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7"/>
    </row>
    <row r="278" spans="3:42" x14ac:dyDescent="0.25">
      <c r="C278" s="22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7"/>
    </row>
    <row r="279" spans="3:42" x14ac:dyDescent="0.25">
      <c r="C279" s="22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7"/>
    </row>
    <row r="280" spans="3:42" x14ac:dyDescent="0.25">
      <c r="C280" s="22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7"/>
    </row>
    <row r="281" spans="3:42" x14ac:dyDescent="0.25">
      <c r="C281" s="22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7"/>
    </row>
    <row r="282" spans="3:42" x14ac:dyDescent="0.25">
      <c r="C282" s="22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7"/>
    </row>
    <row r="283" spans="3:42" x14ac:dyDescent="0.25">
      <c r="C283" s="22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7"/>
    </row>
    <row r="284" spans="3:42" x14ac:dyDescent="0.25">
      <c r="C284" s="22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7"/>
    </row>
    <row r="285" spans="3:42" x14ac:dyDescent="0.25">
      <c r="C285" s="22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7"/>
    </row>
    <row r="286" spans="3:42" x14ac:dyDescent="0.25">
      <c r="C286" s="22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7"/>
    </row>
    <row r="287" spans="3:42" x14ac:dyDescent="0.25">
      <c r="C287" s="22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7"/>
    </row>
    <row r="288" spans="3:42" x14ac:dyDescent="0.25">
      <c r="C288" s="22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7"/>
    </row>
    <row r="289" spans="3:42" x14ac:dyDescent="0.25">
      <c r="C289" s="22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7"/>
    </row>
    <row r="290" spans="3:42" x14ac:dyDescent="0.25">
      <c r="C290" s="22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7"/>
    </row>
    <row r="291" spans="3:42" x14ac:dyDescent="0.25">
      <c r="C291" s="22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7"/>
    </row>
    <row r="292" spans="3:42" x14ac:dyDescent="0.25">
      <c r="C292" s="22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7"/>
    </row>
    <row r="293" spans="3:42" x14ac:dyDescent="0.25">
      <c r="C293" s="22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7"/>
    </row>
    <row r="294" spans="3:42" x14ac:dyDescent="0.25">
      <c r="C294" s="22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7"/>
    </row>
    <row r="295" spans="3:42" x14ac:dyDescent="0.25">
      <c r="C295" s="22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7"/>
    </row>
    <row r="296" spans="3:42" x14ac:dyDescent="0.25">
      <c r="C296" s="22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7"/>
    </row>
    <row r="297" spans="3:42" x14ac:dyDescent="0.25">
      <c r="C297" s="22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7"/>
    </row>
    <row r="298" spans="3:42" x14ac:dyDescent="0.25">
      <c r="C298" s="22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7"/>
    </row>
    <row r="299" spans="3:42" x14ac:dyDescent="0.25">
      <c r="C299" s="22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7"/>
    </row>
    <row r="300" spans="3:42" x14ac:dyDescent="0.25">
      <c r="C300" s="22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7"/>
    </row>
    <row r="301" spans="3:42" x14ac:dyDescent="0.25">
      <c r="C301" s="22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7"/>
    </row>
    <row r="302" spans="3:42" x14ac:dyDescent="0.25">
      <c r="C302" s="22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7"/>
    </row>
    <row r="303" spans="3:42" x14ac:dyDescent="0.25">
      <c r="C303" s="22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7"/>
    </row>
    <row r="304" spans="3:42" x14ac:dyDescent="0.25">
      <c r="C304" s="22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7"/>
    </row>
    <row r="305" spans="3:42" x14ac:dyDescent="0.25">
      <c r="C305" s="22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7"/>
    </row>
    <row r="306" spans="3:42" x14ac:dyDescent="0.25">
      <c r="C306" s="22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7"/>
    </row>
    <row r="307" spans="3:42" x14ac:dyDescent="0.25">
      <c r="C307" s="22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7"/>
    </row>
    <row r="308" spans="3:42" x14ac:dyDescent="0.25">
      <c r="C308" s="22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7"/>
    </row>
    <row r="309" spans="3:42" x14ac:dyDescent="0.25">
      <c r="C309" s="22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7"/>
    </row>
    <row r="310" spans="3:42" x14ac:dyDescent="0.25">
      <c r="C310" s="22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7"/>
    </row>
    <row r="311" spans="3:42" x14ac:dyDescent="0.25">
      <c r="C311" s="22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7"/>
    </row>
    <row r="312" spans="3:42" x14ac:dyDescent="0.25">
      <c r="C312" s="22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7"/>
    </row>
    <row r="313" spans="3:42" x14ac:dyDescent="0.25">
      <c r="C313" s="22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7"/>
    </row>
    <row r="314" spans="3:42" x14ac:dyDescent="0.25">
      <c r="C314" s="22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7"/>
    </row>
    <row r="315" spans="3:42" x14ac:dyDescent="0.25">
      <c r="C315" s="22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7"/>
    </row>
    <row r="316" spans="3:42" x14ac:dyDescent="0.25">
      <c r="C316" s="22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7"/>
    </row>
    <row r="317" spans="3:42" x14ac:dyDescent="0.25">
      <c r="C317" s="22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7"/>
    </row>
    <row r="318" spans="3:42" x14ac:dyDescent="0.25">
      <c r="C318" s="22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7"/>
    </row>
    <row r="319" spans="3:42" x14ac:dyDescent="0.25">
      <c r="C319" s="22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7"/>
    </row>
    <row r="320" spans="3:42" x14ac:dyDescent="0.25">
      <c r="C320" s="22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7"/>
    </row>
    <row r="321" spans="3:42" x14ac:dyDescent="0.25">
      <c r="C321" s="22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7"/>
    </row>
    <row r="322" spans="3:42" x14ac:dyDescent="0.25">
      <c r="C322" s="22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7"/>
    </row>
    <row r="323" spans="3:42" x14ac:dyDescent="0.25">
      <c r="C323" s="22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7"/>
    </row>
    <row r="324" spans="3:42" x14ac:dyDescent="0.25">
      <c r="C324" s="22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7"/>
    </row>
    <row r="325" spans="3:42" x14ac:dyDescent="0.25">
      <c r="C325" s="22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7"/>
    </row>
    <row r="326" spans="3:42" x14ac:dyDescent="0.25">
      <c r="C326" s="22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7"/>
    </row>
    <row r="327" spans="3:42" x14ac:dyDescent="0.25">
      <c r="C327" s="22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7"/>
    </row>
    <row r="328" spans="3:42" x14ac:dyDescent="0.25">
      <c r="C328" s="22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7"/>
    </row>
    <row r="329" spans="3:42" x14ac:dyDescent="0.25">
      <c r="C329" s="22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7"/>
    </row>
    <row r="330" spans="3:42" x14ac:dyDescent="0.25">
      <c r="C330" s="22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7"/>
    </row>
    <row r="331" spans="3:42" x14ac:dyDescent="0.25">
      <c r="C331" s="22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7"/>
    </row>
    <row r="332" spans="3:42" x14ac:dyDescent="0.25">
      <c r="C332" s="22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7"/>
    </row>
    <row r="333" spans="3:42" x14ac:dyDescent="0.25">
      <c r="C333" s="22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7"/>
    </row>
    <row r="334" spans="3:42" x14ac:dyDescent="0.25">
      <c r="C334" s="22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7"/>
    </row>
    <row r="335" spans="3:42" x14ac:dyDescent="0.25">
      <c r="C335" s="22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7"/>
    </row>
    <row r="336" spans="3:42" x14ac:dyDescent="0.25">
      <c r="C336" s="22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7"/>
    </row>
    <row r="337" spans="3:42" x14ac:dyDescent="0.25">
      <c r="C337" s="22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7"/>
    </row>
    <row r="338" spans="3:42" x14ac:dyDescent="0.25">
      <c r="C338" s="22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7"/>
    </row>
    <row r="339" spans="3:42" x14ac:dyDescent="0.25">
      <c r="C339" s="22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7"/>
    </row>
    <row r="340" spans="3:42" x14ac:dyDescent="0.25">
      <c r="C340" s="22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7"/>
    </row>
    <row r="341" spans="3:42" x14ac:dyDescent="0.25">
      <c r="C341" s="22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7"/>
    </row>
    <row r="342" spans="3:42" x14ac:dyDescent="0.25">
      <c r="C342" s="22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7"/>
    </row>
    <row r="343" spans="3:42" x14ac:dyDescent="0.25">
      <c r="C343" s="22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7"/>
    </row>
    <row r="344" spans="3:42" x14ac:dyDescent="0.25">
      <c r="C344" s="22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7"/>
    </row>
    <row r="345" spans="3:42" x14ac:dyDescent="0.25">
      <c r="C345" s="22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7"/>
    </row>
    <row r="346" spans="3:42" x14ac:dyDescent="0.25">
      <c r="C346" s="22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7"/>
    </row>
    <row r="347" spans="3:42" x14ac:dyDescent="0.25">
      <c r="C347" s="22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7"/>
    </row>
    <row r="348" spans="3:42" x14ac:dyDescent="0.25">
      <c r="C348" s="22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7"/>
    </row>
    <row r="349" spans="3:42" x14ac:dyDescent="0.25">
      <c r="C349" s="22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7"/>
    </row>
    <row r="350" spans="3:42" x14ac:dyDescent="0.25">
      <c r="C350" s="22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7"/>
    </row>
    <row r="351" spans="3:42" x14ac:dyDescent="0.25">
      <c r="C351" s="22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7"/>
    </row>
    <row r="352" spans="3:42" x14ac:dyDescent="0.25">
      <c r="C352" s="22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7"/>
    </row>
    <row r="353" spans="3:42" x14ac:dyDescent="0.25">
      <c r="C353" s="22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7"/>
    </row>
    <row r="354" spans="3:42" x14ac:dyDescent="0.25">
      <c r="C354" s="22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7"/>
    </row>
    <row r="355" spans="3:42" x14ac:dyDescent="0.25">
      <c r="C355" s="22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7"/>
    </row>
    <row r="356" spans="3:42" x14ac:dyDescent="0.25">
      <c r="C356" s="22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7"/>
    </row>
    <row r="357" spans="3:42" x14ac:dyDescent="0.25">
      <c r="C357" s="22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7"/>
    </row>
    <row r="358" spans="3:42" x14ac:dyDescent="0.25">
      <c r="C358" s="22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7"/>
    </row>
    <row r="359" spans="3:42" x14ac:dyDescent="0.25">
      <c r="C359" s="22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7"/>
    </row>
    <row r="360" spans="3:42" x14ac:dyDescent="0.25">
      <c r="C360" s="22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7"/>
    </row>
    <row r="361" spans="3:42" x14ac:dyDescent="0.25">
      <c r="C361" s="22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7"/>
    </row>
    <row r="362" spans="3:42" x14ac:dyDescent="0.25">
      <c r="C362" s="22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7"/>
    </row>
    <row r="363" spans="3:42" x14ac:dyDescent="0.25">
      <c r="C363" s="22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7"/>
    </row>
    <row r="364" spans="3:42" x14ac:dyDescent="0.25">
      <c r="C364" s="22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7"/>
    </row>
    <row r="365" spans="3:42" x14ac:dyDescent="0.25">
      <c r="C365" s="22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7"/>
    </row>
    <row r="366" spans="3:42" x14ac:dyDescent="0.25">
      <c r="C366" s="22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7"/>
    </row>
    <row r="367" spans="3:42" x14ac:dyDescent="0.25">
      <c r="C367" s="22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7"/>
    </row>
    <row r="368" spans="3:42" x14ac:dyDescent="0.25">
      <c r="C368" s="22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7"/>
    </row>
    <row r="369" spans="3:42" x14ac:dyDescent="0.25">
      <c r="C369" s="22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7"/>
    </row>
    <row r="370" spans="3:42" x14ac:dyDescent="0.25">
      <c r="C370" s="22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7"/>
    </row>
    <row r="371" spans="3:42" x14ac:dyDescent="0.25">
      <c r="C371" s="22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7"/>
    </row>
    <row r="372" spans="3:42" x14ac:dyDescent="0.25">
      <c r="C372" s="22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7"/>
    </row>
    <row r="373" spans="3:42" x14ac:dyDescent="0.25">
      <c r="C373" s="22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7"/>
    </row>
    <row r="374" spans="3:42" x14ac:dyDescent="0.25">
      <c r="C374" s="22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7"/>
    </row>
    <row r="375" spans="3:42" x14ac:dyDescent="0.25">
      <c r="C375" s="22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7"/>
    </row>
    <row r="376" spans="3:42" x14ac:dyDescent="0.25">
      <c r="C376" s="22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7"/>
    </row>
    <row r="377" spans="3:42" x14ac:dyDescent="0.25">
      <c r="C377" s="22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7"/>
    </row>
    <row r="378" spans="3:42" x14ac:dyDescent="0.25">
      <c r="C378" s="22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7"/>
    </row>
    <row r="379" spans="3:42" x14ac:dyDescent="0.25">
      <c r="C379" s="22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7"/>
    </row>
    <row r="380" spans="3:42" x14ac:dyDescent="0.25">
      <c r="C380" s="22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7"/>
    </row>
    <row r="381" spans="3:42" x14ac:dyDescent="0.25">
      <c r="C381" s="22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7"/>
    </row>
    <row r="382" spans="3:42" x14ac:dyDescent="0.25">
      <c r="C382" s="22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7"/>
    </row>
    <row r="383" spans="3:42" x14ac:dyDescent="0.25">
      <c r="C383" s="22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7"/>
    </row>
    <row r="384" spans="3:42" x14ac:dyDescent="0.25">
      <c r="C384" s="22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7"/>
    </row>
    <row r="385" spans="3:42" x14ac:dyDescent="0.25">
      <c r="C385" s="22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7"/>
    </row>
    <row r="386" spans="3:42" x14ac:dyDescent="0.25">
      <c r="C386" s="22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7"/>
    </row>
    <row r="387" spans="3:42" x14ac:dyDescent="0.25">
      <c r="C387" s="22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7"/>
    </row>
    <row r="388" spans="3:42" x14ac:dyDescent="0.25">
      <c r="C388" s="22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7"/>
    </row>
    <row r="389" spans="3:42" x14ac:dyDescent="0.25">
      <c r="C389" s="22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7"/>
    </row>
    <row r="390" spans="3:42" x14ac:dyDescent="0.25">
      <c r="C390" s="22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7"/>
    </row>
    <row r="391" spans="3:42" x14ac:dyDescent="0.25">
      <c r="C391" s="22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7"/>
    </row>
    <row r="392" spans="3:42" x14ac:dyDescent="0.25">
      <c r="C392" s="22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7"/>
    </row>
    <row r="393" spans="3:42" x14ac:dyDescent="0.25">
      <c r="C393" s="22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7"/>
    </row>
    <row r="394" spans="3:42" x14ac:dyDescent="0.25">
      <c r="C394" s="22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7"/>
    </row>
    <row r="395" spans="3:42" x14ac:dyDescent="0.25">
      <c r="C395" s="22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7"/>
    </row>
    <row r="396" spans="3:42" x14ac:dyDescent="0.25">
      <c r="C396" s="22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7"/>
    </row>
    <row r="397" spans="3:42" x14ac:dyDescent="0.25">
      <c r="C397" s="22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7"/>
    </row>
    <row r="398" spans="3:42" x14ac:dyDescent="0.25">
      <c r="C398" s="22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7"/>
    </row>
    <row r="399" spans="3:42" x14ac:dyDescent="0.25">
      <c r="C399" s="22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7"/>
    </row>
    <row r="400" spans="3:42" x14ac:dyDescent="0.25">
      <c r="C400" s="22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7"/>
    </row>
    <row r="401" spans="3:42" x14ac:dyDescent="0.25">
      <c r="C401" s="22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7"/>
    </row>
    <row r="402" spans="3:42" x14ac:dyDescent="0.25">
      <c r="C402" s="22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7"/>
    </row>
    <row r="403" spans="3:42" x14ac:dyDescent="0.25">
      <c r="C403" s="22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7"/>
    </row>
    <row r="404" spans="3:42" x14ac:dyDescent="0.25">
      <c r="C404" s="22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7"/>
    </row>
    <row r="405" spans="3:42" x14ac:dyDescent="0.25">
      <c r="C405" s="22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7"/>
    </row>
    <row r="406" spans="3:42" x14ac:dyDescent="0.25">
      <c r="C406" s="22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7"/>
    </row>
    <row r="407" spans="3:42" x14ac:dyDescent="0.25">
      <c r="C407" s="22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7"/>
    </row>
    <row r="408" spans="3:42" x14ac:dyDescent="0.25">
      <c r="C408" s="22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7"/>
    </row>
    <row r="409" spans="3:42" x14ac:dyDescent="0.25">
      <c r="C409" s="22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7"/>
    </row>
    <row r="410" spans="3:42" x14ac:dyDescent="0.25">
      <c r="C410" s="22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7"/>
    </row>
    <row r="411" spans="3:42" x14ac:dyDescent="0.25">
      <c r="C411" s="22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7"/>
    </row>
    <row r="412" spans="3:42" x14ac:dyDescent="0.25">
      <c r="C412" s="22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7"/>
    </row>
    <row r="413" spans="3:42" x14ac:dyDescent="0.25">
      <c r="C413" s="22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7"/>
    </row>
    <row r="414" spans="3:42" x14ac:dyDescent="0.25">
      <c r="C414" s="22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7"/>
    </row>
    <row r="415" spans="3:42" x14ac:dyDescent="0.25">
      <c r="C415" s="22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7"/>
    </row>
    <row r="416" spans="3:42" x14ac:dyDescent="0.25">
      <c r="C416" s="22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7"/>
    </row>
    <row r="417" spans="3:42" x14ac:dyDescent="0.25">
      <c r="C417" s="22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7"/>
    </row>
    <row r="418" spans="3:42" x14ac:dyDescent="0.25">
      <c r="C418" s="22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7"/>
    </row>
    <row r="419" spans="3:42" x14ac:dyDescent="0.25">
      <c r="C419" s="22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7"/>
    </row>
    <row r="420" spans="3:42" x14ac:dyDescent="0.25">
      <c r="C420" s="22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7"/>
    </row>
    <row r="421" spans="3:42" x14ac:dyDescent="0.25">
      <c r="C421" s="22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7"/>
    </row>
    <row r="422" spans="3:42" x14ac:dyDescent="0.25">
      <c r="C422" s="22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7"/>
    </row>
    <row r="423" spans="3:42" x14ac:dyDescent="0.25">
      <c r="C423" s="22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7"/>
    </row>
    <row r="424" spans="3:42" x14ac:dyDescent="0.25">
      <c r="C424" s="22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7"/>
    </row>
    <row r="425" spans="3:42" x14ac:dyDescent="0.25">
      <c r="C425" s="22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7"/>
    </row>
    <row r="426" spans="3:42" x14ac:dyDescent="0.25">
      <c r="C426" s="22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7"/>
    </row>
    <row r="427" spans="3:42" x14ac:dyDescent="0.25">
      <c r="C427" s="22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7"/>
    </row>
    <row r="428" spans="3:42" x14ac:dyDescent="0.25">
      <c r="C428" s="22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7"/>
    </row>
    <row r="429" spans="3:42" x14ac:dyDescent="0.25">
      <c r="C429" s="22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7"/>
    </row>
    <row r="430" spans="3:42" x14ac:dyDescent="0.25">
      <c r="C430" s="22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7"/>
    </row>
    <row r="431" spans="3:42" x14ac:dyDescent="0.25">
      <c r="C431" s="22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7"/>
    </row>
    <row r="432" spans="3:42" x14ac:dyDescent="0.25">
      <c r="C432" s="22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7"/>
    </row>
    <row r="433" spans="3:42" x14ac:dyDescent="0.25">
      <c r="C433" s="22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7"/>
    </row>
    <row r="434" spans="3:42" x14ac:dyDescent="0.25">
      <c r="C434" s="22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7"/>
    </row>
    <row r="435" spans="3:42" x14ac:dyDescent="0.25">
      <c r="C435" s="22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7"/>
    </row>
    <row r="436" spans="3:42" x14ac:dyDescent="0.25">
      <c r="C436" s="22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7"/>
    </row>
    <row r="437" spans="3:42" x14ac:dyDescent="0.25">
      <c r="C437" s="22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7"/>
    </row>
    <row r="438" spans="3:42" x14ac:dyDescent="0.25">
      <c r="C438" s="22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7"/>
    </row>
    <row r="439" spans="3:42" x14ac:dyDescent="0.25">
      <c r="C439" s="22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7"/>
    </row>
    <row r="440" spans="3:42" x14ac:dyDescent="0.25">
      <c r="C440" s="22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7"/>
    </row>
    <row r="441" spans="3:42" x14ac:dyDescent="0.25">
      <c r="C441" s="22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7"/>
    </row>
    <row r="442" spans="3:42" x14ac:dyDescent="0.25">
      <c r="C442" s="22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7"/>
    </row>
    <row r="443" spans="3:42" x14ac:dyDescent="0.25">
      <c r="C443" s="22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7"/>
    </row>
    <row r="444" spans="3:42" x14ac:dyDescent="0.25">
      <c r="C444" s="22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7"/>
    </row>
    <row r="445" spans="3:42" x14ac:dyDescent="0.25">
      <c r="C445" s="22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7"/>
    </row>
    <row r="446" spans="3:42" x14ac:dyDescent="0.25">
      <c r="C446" s="22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7"/>
    </row>
    <row r="447" spans="3:42" x14ac:dyDescent="0.25">
      <c r="C447" s="22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7"/>
    </row>
    <row r="448" spans="3:42" x14ac:dyDescent="0.25">
      <c r="C448" s="22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7"/>
    </row>
    <row r="449" spans="3:42" x14ac:dyDescent="0.25">
      <c r="C449" s="22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7"/>
    </row>
    <row r="450" spans="3:42" x14ac:dyDescent="0.25">
      <c r="C450" s="22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7"/>
    </row>
    <row r="451" spans="3:42" x14ac:dyDescent="0.25">
      <c r="C451" s="22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7"/>
    </row>
    <row r="452" spans="3:42" x14ac:dyDescent="0.25">
      <c r="C452" s="22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7"/>
    </row>
    <row r="453" spans="3:42" x14ac:dyDescent="0.25">
      <c r="C453" s="22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7"/>
    </row>
    <row r="454" spans="3:42" x14ac:dyDescent="0.25">
      <c r="C454" s="22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7"/>
    </row>
    <row r="455" spans="3:42" x14ac:dyDescent="0.25">
      <c r="C455" s="22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7"/>
    </row>
    <row r="456" spans="3:42" x14ac:dyDescent="0.25">
      <c r="C456" s="22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7"/>
    </row>
    <row r="457" spans="3:42" x14ac:dyDescent="0.25">
      <c r="C457" s="22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7"/>
    </row>
    <row r="458" spans="3:42" x14ac:dyDescent="0.25">
      <c r="C458" s="22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7"/>
    </row>
    <row r="459" spans="3:42" x14ac:dyDescent="0.25">
      <c r="C459" s="22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7"/>
    </row>
    <row r="460" spans="3:42" x14ac:dyDescent="0.25">
      <c r="C460" s="22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7"/>
    </row>
    <row r="461" spans="3:42" x14ac:dyDescent="0.25">
      <c r="C461" s="22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7"/>
    </row>
    <row r="462" spans="3:42" x14ac:dyDescent="0.25">
      <c r="C462" s="22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7"/>
    </row>
    <row r="463" spans="3:42" x14ac:dyDescent="0.25">
      <c r="C463" s="22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7"/>
    </row>
    <row r="464" spans="3:42" x14ac:dyDescent="0.25">
      <c r="C464" s="22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7"/>
    </row>
    <row r="465" spans="3:42" x14ac:dyDescent="0.25">
      <c r="C465" s="22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7"/>
    </row>
    <row r="466" spans="3:42" x14ac:dyDescent="0.25">
      <c r="C466" s="22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7"/>
    </row>
    <row r="467" spans="3:42" x14ac:dyDescent="0.25">
      <c r="C467" s="22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7"/>
    </row>
    <row r="468" spans="3:42" x14ac:dyDescent="0.25">
      <c r="C468" s="22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7"/>
    </row>
    <row r="469" spans="3:42" x14ac:dyDescent="0.25">
      <c r="C469" s="22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7"/>
    </row>
    <row r="470" spans="3:42" x14ac:dyDescent="0.25">
      <c r="C470" s="22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7"/>
    </row>
    <row r="471" spans="3:42" x14ac:dyDescent="0.25">
      <c r="C471" s="22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7"/>
    </row>
    <row r="472" spans="3:42" x14ac:dyDescent="0.25">
      <c r="C472" s="22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7"/>
    </row>
    <row r="473" spans="3:42" x14ac:dyDescent="0.25">
      <c r="C473" s="22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7"/>
    </row>
    <row r="474" spans="3:42" x14ac:dyDescent="0.25">
      <c r="C474" s="22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7"/>
    </row>
    <row r="475" spans="3:42" x14ac:dyDescent="0.25">
      <c r="C475" s="22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7"/>
    </row>
    <row r="476" spans="3:42" x14ac:dyDescent="0.25">
      <c r="C476" s="22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7"/>
    </row>
    <row r="477" spans="3:42" x14ac:dyDescent="0.25">
      <c r="C477" s="22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7"/>
    </row>
    <row r="478" spans="3:42" x14ac:dyDescent="0.25">
      <c r="C478" s="22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7"/>
    </row>
    <row r="479" spans="3:42" x14ac:dyDescent="0.25">
      <c r="C479" s="22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7"/>
    </row>
    <row r="480" spans="3:42" x14ac:dyDescent="0.25">
      <c r="C480" s="22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7"/>
    </row>
    <row r="481" spans="3:42" x14ac:dyDescent="0.25">
      <c r="C481" s="22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7"/>
    </row>
    <row r="482" spans="3:42" x14ac:dyDescent="0.25">
      <c r="C482" s="22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7"/>
    </row>
    <row r="483" spans="3:42" x14ac:dyDescent="0.25">
      <c r="C483" s="22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7"/>
    </row>
    <row r="484" spans="3:42" x14ac:dyDescent="0.25">
      <c r="C484" s="22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7"/>
    </row>
    <row r="485" spans="3:42" x14ac:dyDescent="0.25">
      <c r="C485" s="22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7"/>
    </row>
    <row r="486" spans="3:42" x14ac:dyDescent="0.25">
      <c r="C486" s="22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7"/>
    </row>
    <row r="487" spans="3:42" x14ac:dyDescent="0.25">
      <c r="C487" s="22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7"/>
    </row>
    <row r="488" spans="3:42" x14ac:dyDescent="0.25">
      <c r="C488" s="22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7"/>
    </row>
    <row r="489" spans="3:42" x14ac:dyDescent="0.25">
      <c r="C489" s="22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7"/>
    </row>
    <row r="490" spans="3:42" x14ac:dyDescent="0.25">
      <c r="C490" s="22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7"/>
    </row>
    <row r="491" spans="3:42" x14ac:dyDescent="0.25">
      <c r="C491" s="22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7"/>
    </row>
    <row r="492" spans="3:42" x14ac:dyDescent="0.25">
      <c r="C492" s="22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7"/>
    </row>
    <row r="493" spans="3:42" x14ac:dyDescent="0.25">
      <c r="C493" s="22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7"/>
    </row>
    <row r="494" spans="3:42" x14ac:dyDescent="0.25">
      <c r="C494" s="22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7"/>
    </row>
    <row r="495" spans="3:42" x14ac:dyDescent="0.25">
      <c r="C495" s="22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7"/>
    </row>
    <row r="496" spans="3:42" x14ac:dyDescent="0.25">
      <c r="C496" s="22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7"/>
    </row>
    <row r="497" spans="3:42" x14ac:dyDescent="0.25">
      <c r="C497" s="22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7"/>
    </row>
    <row r="498" spans="3:42" x14ac:dyDescent="0.25">
      <c r="C498" s="22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7"/>
    </row>
    <row r="499" spans="3:42" x14ac:dyDescent="0.25">
      <c r="C499" s="22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7"/>
    </row>
    <row r="500" spans="3:42" x14ac:dyDescent="0.25">
      <c r="C500" s="22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7"/>
    </row>
    <row r="501" spans="3:42" x14ac:dyDescent="0.25">
      <c r="C501" s="22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7"/>
    </row>
    <row r="502" spans="3:42" x14ac:dyDescent="0.25">
      <c r="C502" s="22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7"/>
    </row>
    <row r="503" spans="3:42" x14ac:dyDescent="0.25">
      <c r="C503" s="22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7"/>
    </row>
    <row r="504" spans="3:42" x14ac:dyDescent="0.25">
      <c r="C504" s="22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7"/>
    </row>
    <row r="505" spans="3:42" x14ac:dyDescent="0.25">
      <c r="C505" s="22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7"/>
    </row>
    <row r="506" spans="3:42" x14ac:dyDescent="0.25">
      <c r="C506" s="22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7"/>
    </row>
    <row r="507" spans="3:42" x14ac:dyDescent="0.25">
      <c r="C507" s="22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7"/>
    </row>
    <row r="508" spans="3:42" x14ac:dyDescent="0.25">
      <c r="C508" s="22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7"/>
    </row>
    <row r="509" spans="3:42" x14ac:dyDescent="0.25">
      <c r="C509" s="22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7"/>
    </row>
    <row r="510" spans="3:42" x14ac:dyDescent="0.25">
      <c r="C510" s="22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7"/>
    </row>
    <row r="511" spans="3:42" x14ac:dyDescent="0.25">
      <c r="C511" s="22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7"/>
    </row>
    <row r="512" spans="3:42" x14ac:dyDescent="0.25">
      <c r="C512" s="22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7"/>
    </row>
    <row r="513" spans="3:42" x14ac:dyDescent="0.25">
      <c r="C513" s="22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7"/>
    </row>
    <row r="514" spans="3:42" x14ac:dyDescent="0.25">
      <c r="C514" s="22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7"/>
    </row>
    <row r="515" spans="3:42" x14ac:dyDescent="0.25">
      <c r="C515" s="22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7"/>
    </row>
    <row r="516" spans="3:42" x14ac:dyDescent="0.25">
      <c r="C516" s="22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7"/>
    </row>
    <row r="517" spans="3:42" x14ac:dyDescent="0.25">
      <c r="C517" s="22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7"/>
    </row>
    <row r="518" spans="3:42" x14ac:dyDescent="0.25">
      <c r="C518" s="22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7"/>
    </row>
    <row r="519" spans="3:42" x14ac:dyDescent="0.25">
      <c r="C519" s="22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7"/>
    </row>
    <row r="520" spans="3:42" x14ac:dyDescent="0.25">
      <c r="C520" s="22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7"/>
    </row>
    <row r="521" spans="3:42" x14ac:dyDescent="0.25">
      <c r="C521" s="22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7"/>
    </row>
    <row r="522" spans="3:42" x14ac:dyDescent="0.25">
      <c r="C522" s="22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7"/>
    </row>
    <row r="523" spans="3:42" x14ac:dyDescent="0.25">
      <c r="C523" s="22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7"/>
    </row>
    <row r="524" spans="3:42" x14ac:dyDescent="0.25">
      <c r="C524" s="22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7"/>
    </row>
    <row r="525" spans="3:42" x14ac:dyDescent="0.25">
      <c r="C525" s="22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7"/>
    </row>
    <row r="526" spans="3:42" x14ac:dyDescent="0.25">
      <c r="C526" s="22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7"/>
    </row>
    <row r="527" spans="3:42" x14ac:dyDescent="0.25">
      <c r="C527" s="22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7"/>
    </row>
    <row r="528" spans="3:42" x14ac:dyDescent="0.25">
      <c r="C528" s="22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7"/>
    </row>
    <row r="529" spans="3:42" x14ac:dyDescent="0.25">
      <c r="C529" s="22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7"/>
    </row>
    <row r="530" spans="3:42" x14ac:dyDescent="0.25">
      <c r="C530" s="22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7"/>
    </row>
    <row r="531" spans="3:42" x14ac:dyDescent="0.25">
      <c r="C531" s="22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7"/>
    </row>
    <row r="532" spans="3:42" x14ac:dyDescent="0.25">
      <c r="C532" s="22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7"/>
    </row>
    <row r="533" spans="3:42" x14ac:dyDescent="0.25">
      <c r="C533" s="22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7"/>
    </row>
    <row r="534" spans="3:42" x14ac:dyDescent="0.25">
      <c r="C534" s="22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7"/>
    </row>
    <row r="535" spans="3:42" x14ac:dyDescent="0.25">
      <c r="C535" s="22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7"/>
    </row>
    <row r="536" spans="3:42" x14ac:dyDescent="0.25">
      <c r="C536" s="22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7"/>
    </row>
    <row r="537" spans="3:42" x14ac:dyDescent="0.25">
      <c r="C537" s="22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7"/>
    </row>
    <row r="538" spans="3:42" x14ac:dyDescent="0.25">
      <c r="C538" s="22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7"/>
    </row>
    <row r="539" spans="3:42" x14ac:dyDescent="0.25">
      <c r="C539" s="22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7"/>
    </row>
    <row r="540" spans="3:42" x14ac:dyDescent="0.25">
      <c r="C540" s="22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7"/>
    </row>
    <row r="541" spans="3:42" x14ac:dyDescent="0.25">
      <c r="C541" s="22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7"/>
    </row>
    <row r="542" spans="3:42" x14ac:dyDescent="0.25">
      <c r="C542" s="22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7"/>
    </row>
    <row r="543" spans="3:42" x14ac:dyDescent="0.25">
      <c r="C543" s="22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7"/>
    </row>
    <row r="544" spans="3:42" x14ac:dyDescent="0.25">
      <c r="C544" s="22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7"/>
    </row>
    <row r="545" spans="3:42" x14ac:dyDescent="0.25">
      <c r="C545" s="22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7"/>
    </row>
    <row r="546" spans="3:42" x14ac:dyDescent="0.25">
      <c r="C546" s="22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7"/>
    </row>
    <row r="547" spans="3:42" x14ac:dyDescent="0.25">
      <c r="C547" s="22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7"/>
    </row>
    <row r="548" spans="3:42" x14ac:dyDescent="0.25">
      <c r="C548" s="22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7"/>
    </row>
    <row r="549" spans="3:42" x14ac:dyDescent="0.25">
      <c r="C549" s="22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7"/>
    </row>
    <row r="550" spans="3:42" x14ac:dyDescent="0.25">
      <c r="C550" s="22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7"/>
    </row>
    <row r="551" spans="3:42" x14ac:dyDescent="0.25">
      <c r="C551" s="22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7"/>
    </row>
    <row r="552" spans="3:42" x14ac:dyDescent="0.25">
      <c r="C552" s="22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7"/>
    </row>
    <row r="553" spans="3:42" x14ac:dyDescent="0.25">
      <c r="C553" s="22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7"/>
    </row>
    <row r="554" spans="3:42" x14ac:dyDescent="0.25">
      <c r="C554" s="22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7"/>
    </row>
    <row r="555" spans="3:42" x14ac:dyDescent="0.25">
      <c r="C555" s="22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7"/>
    </row>
    <row r="556" spans="3:42" x14ac:dyDescent="0.25">
      <c r="C556" s="22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7"/>
    </row>
    <row r="557" spans="3:42" x14ac:dyDescent="0.25">
      <c r="C557" s="22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7"/>
    </row>
    <row r="558" spans="3:42" x14ac:dyDescent="0.25">
      <c r="C558" s="22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7"/>
    </row>
    <row r="559" spans="3:42" x14ac:dyDescent="0.25">
      <c r="C559" s="22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7"/>
    </row>
    <row r="560" spans="3:42" x14ac:dyDescent="0.25">
      <c r="C560" s="22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7"/>
    </row>
    <row r="561" spans="3:42" x14ac:dyDescent="0.25">
      <c r="C561" s="22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7"/>
    </row>
    <row r="562" spans="3:42" x14ac:dyDescent="0.25">
      <c r="C562" s="22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7"/>
    </row>
    <row r="563" spans="3:42" x14ac:dyDescent="0.25">
      <c r="C563" s="22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7"/>
    </row>
    <row r="564" spans="3:42" x14ac:dyDescent="0.25">
      <c r="C564" s="22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7"/>
    </row>
    <row r="565" spans="3:42" x14ac:dyDescent="0.25">
      <c r="C565" s="22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7"/>
    </row>
    <row r="566" spans="3:42" x14ac:dyDescent="0.25">
      <c r="C566" s="22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7"/>
    </row>
    <row r="567" spans="3:42" x14ac:dyDescent="0.25">
      <c r="C567" s="22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7"/>
    </row>
    <row r="568" spans="3:42" x14ac:dyDescent="0.25">
      <c r="C568" s="22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7"/>
    </row>
    <row r="569" spans="3:42" x14ac:dyDescent="0.25">
      <c r="C569" s="22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7"/>
    </row>
    <row r="570" spans="3:42" x14ac:dyDescent="0.25">
      <c r="C570" s="22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7"/>
    </row>
    <row r="571" spans="3:42" x14ac:dyDescent="0.25">
      <c r="C571" s="22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7"/>
    </row>
    <row r="572" spans="3:42" x14ac:dyDescent="0.25">
      <c r="C572" s="22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7"/>
    </row>
    <row r="573" spans="3:42" x14ac:dyDescent="0.25">
      <c r="C573" s="22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7"/>
    </row>
    <row r="574" spans="3:42" x14ac:dyDescent="0.25">
      <c r="C574" s="22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7"/>
    </row>
    <row r="575" spans="3:42" x14ac:dyDescent="0.25">
      <c r="C575" s="22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7"/>
    </row>
    <row r="576" spans="3:42" x14ac:dyDescent="0.25">
      <c r="C576" s="22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7"/>
    </row>
    <row r="577" spans="3:42" x14ac:dyDescent="0.25">
      <c r="C577" s="22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7"/>
    </row>
    <row r="578" spans="3:42" x14ac:dyDescent="0.25">
      <c r="C578" s="22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7"/>
    </row>
    <row r="579" spans="3:42" x14ac:dyDescent="0.25">
      <c r="C579" s="22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7"/>
    </row>
    <row r="580" spans="3:42" x14ac:dyDescent="0.25">
      <c r="C580" s="22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7"/>
    </row>
    <row r="581" spans="3:42" x14ac:dyDescent="0.25">
      <c r="C581" s="22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7"/>
    </row>
    <row r="582" spans="3:42" x14ac:dyDescent="0.25">
      <c r="C582" s="22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7"/>
    </row>
    <row r="583" spans="3:42" x14ac:dyDescent="0.25">
      <c r="C583" s="22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7"/>
    </row>
    <row r="584" spans="3:42" x14ac:dyDescent="0.25">
      <c r="C584" s="22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7"/>
    </row>
    <row r="585" spans="3:42" x14ac:dyDescent="0.25">
      <c r="C585" s="22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7"/>
    </row>
    <row r="586" spans="3:42" x14ac:dyDescent="0.25">
      <c r="C586" s="22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7"/>
    </row>
    <row r="587" spans="3:42" x14ac:dyDescent="0.25">
      <c r="C587" s="22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7"/>
    </row>
    <row r="588" spans="3:42" x14ac:dyDescent="0.25">
      <c r="C588" s="22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7"/>
    </row>
    <row r="589" spans="3:42" x14ac:dyDescent="0.25">
      <c r="C589" s="22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7"/>
    </row>
    <row r="590" spans="3:42" x14ac:dyDescent="0.25">
      <c r="C590" s="22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7"/>
    </row>
    <row r="591" spans="3:42" x14ac:dyDescent="0.25">
      <c r="C591" s="22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7"/>
    </row>
    <row r="592" spans="3:42" x14ac:dyDescent="0.25">
      <c r="C592" s="22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7"/>
    </row>
    <row r="593" spans="3:42" x14ac:dyDescent="0.25">
      <c r="C593" s="22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7"/>
    </row>
    <row r="594" spans="3:42" x14ac:dyDescent="0.25">
      <c r="C594" s="22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7"/>
    </row>
    <row r="595" spans="3:42" x14ac:dyDescent="0.25">
      <c r="C595" s="22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7"/>
    </row>
    <row r="596" spans="3:42" x14ac:dyDescent="0.25">
      <c r="C596" s="22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7"/>
    </row>
    <row r="597" spans="3:42" x14ac:dyDescent="0.25">
      <c r="C597" s="22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7"/>
    </row>
    <row r="598" spans="3:42" x14ac:dyDescent="0.25">
      <c r="C598" s="22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7"/>
    </row>
    <row r="599" spans="3:42" x14ac:dyDescent="0.25">
      <c r="C599" s="22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7"/>
    </row>
    <row r="600" spans="3:42" x14ac:dyDescent="0.25">
      <c r="C600" s="22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7"/>
    </row>
    <row r="601" spans="3:42" x14ac:dyDescent="0.25">
      <c r="C601" s="22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7"/>
    </row>
    <row r="602" spans="3:42" x14ac:dyDescent="0.25">
      <c r="C602" s="22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7"/>
    </row>
    <row r="603" spans="3:42" x14ac:dyDescent="0.25">
      <c r="C603" s="22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7"/>
    </row>
    <row r="604" spans="3:42" x14ac:dyDescent="0.25">
      <c r="C604" s="22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7"/>
    </row>
    <row r="605" spans="3:42" x14ac:dyDescent="0.25">
      <c r="C605" s="22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7"/>
    </row>
    <row r="606" spans="3:42" x14ac:dyDescent="0.25">
      <c r="C606" s="22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7"/>
    </row>
    <row r="607" spans="3:42" x14ac:dyDescent="0.25">
      <c r="C607" s="22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7"/>
    </row>
    <row r="608" spans="3:42" x14ac:dyDescent="0.25">
      <c r="C608" s="22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7"/>
    </row>
    <row r="609" spans="3:42" x14ac:dyDescent="0.25">
      <c r="C609" s="22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7"/>
    </row>
    <row r="610" spans="3:42" x14ac:dyDescent="0.25">
      <c r="C610" s="22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7"/>
    </row>
    <row r="611" spans="3:42" x14ac:dyDescent="0.25">
      <c r="C611" s="22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7"/>
    </row>
    <row r="612" spans="3:42" x14ac:dyDescent="0.25">
      <c r="C612" s="22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7"/>
    </row>
    <row r="613" spans="3:42" x14ac:dyDescent="0.25">
      <c r="C613" s="22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7"/>
    </row>
    <row r="614" spans="3:42" x14ac:dyDescent="0.25">
      <c r="C614" s="22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7"/>
    </row>
    <row r="615" spans="3:42" x14ac:dyDescent="0.25">
      <c r="C615" s="22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7"/>
    </row>
    <row r="616" spans="3:42" x14ac:dyDescent="0.25">
      <c r="C616" s="22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7"/>
    </row>
    <row r="617" spans="3:42" x14ac:dyDescent="0.25">
      <c r="C617" s="22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7"/>
    </row>
    <row r="618" spans="3:42" x14ac:dyDescent="0.25">
      <c r="C618" s="22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7"/>
    </row>
    <row r="619" spans="3:42" x14ac:dyDescent="0.25">
      <c r="C619" s="22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7"/>
    </row>
    <row r="620" spans="3:42" x14ac:dyDescent="0.25">
      <c r="C620" s="22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7"/>
    </row>
    <row r="621" spans="3:42" x14ac:dyDescent="0.25">
      <c r="C621" s="22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7"/>
    </row>
    <row r="622" spans="3:42" x14ac:dyDescent="0.25">
      <c r="C622" s="22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7"/>
    </row>
    <row r="623" spans="3:42" x14ac:dyDescent="0.25">
      <c r="C623" s="22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7"/>
    </row>
    <row r="624" spans="3:42" x14ac:dyDescent="0.25">
      <c r="C624" s="22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7"/>
    </row>
    <row r="625" spans="3:42" x14ac:dyDescent="0.25">
      <c r="C625" s="22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7"/>
    </row>
    <row r="626" spans="3:42" x14ac:dyDescent="0.25">
      <c r="C626" s="22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7"/>
    </row>
    <row r="627" spans="3:42" x14ac:dyDescent="0.25">
      <c r="C627" s="22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7"/>
    </row>
    <row r="628" spans="3:42" x14ac:dyDescent="0.25">
      <c r="C628" s="22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7"/>
    </row>
    <row r="629" spans="3:42" x14ac:dyDescent="0.25">
      <c r="C629" s="22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7"/>
    </row>
    <row r="630" spans="3:42" x14ac:dyDescent="0.25">
      <c r="C630" s="22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7"/>
    </row>
    <row r="631" spans="3:42" x14ac:dyDescent="0.25">
      <c r="C631" s="22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7"/>
    </row>
    <row r="632" spans="3:42" x14ac:dyDescent="0.25">
      <c r="C632" s="22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7"/>
    </row>
    <row r="633" spans="3:42" x14ac:dyDescent="0.25">
      <c r="C633" s="22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7"/>
    </row>
    <row r="634" spans="3:42" x14ac:dyDescent="0.25">
      <c r="C634" s="22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7"/>
    </row>
    <row r="635" spans="3:42" x14ac:dyDescent="0.25">
      <c r="C635" s="22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7"/>
    </row>
    <row r="636" spans="3:42" x14ac:dyDescent="0.25">
      <c r="C636" s="22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7"/>
    </row>
    <row r="637" spans="3:42" x14ac:dyDescent="0.25">
      <c r="C637" s="22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7"/>
    </row>
    <row r="638" spans="3:42" x14ac:dyDescent="0.25">
      <c r="C638" s="22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7"/>
    </row>
    <row r="639" spans="3:42" x14ac:dyDescent="0.25">
      <c r="C639" s="22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7"/>
    </row>
    <row r="640" spans="3:42" x14ac:dyDescent="0.25">
      <c r="C640" s="22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7"/>
    </row>
    <row r="641" spans="3:42" x14ac:dyDescent="0.25">
      <c r="C641" s="22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7"/>
    </row>
    <row r="642" spans="3:42" x14ac:dyDescent="0.25">
      <c r="C642" s="22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7"/>
    </row>
    <row r="643" spans="3:42" x14ac:dyDescent="0.25">
      <c r="C643" s="22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7"/>
    </row>
    <row r="644" spans="3:42" x14ac:dyDescent="0.25">
      <c r="C644" s="22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7"/>
    </row>
    <row r="645" spans="3:42" x14ac:dyDescent="0.25">
      <c r="C645" s="22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7"/>
    </row>
    <row r="646" spans="3:42" x14ac:dyDescent="0.25">
      <c r="C646" s="22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7"/>
    </row>
    <row r="647" spans="3:42" x14ac:dyDescent="0.25">
      <c r="C647" s="22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7"/>
    </row>
    <row r="648" spans="3:42" x14ac:dyDescent="0.25">
      <c r="C648" s="22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7"/>
    </row>
    <row r="649" spans="3:42" x14ac:dyDescent="0.25">
      <c r="C649" s="22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7"/>
    </row>
    <row r="650" spans="3:42" x14ac:dyDescent="0.25">
      <c r="C650" s="22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7"/>
    </row>
    <row r="651" spans="3:42" x14ac:dyDescent="0.25">
      <c r="C651" s="22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7"/>
    </row>
    <row r="652" spans="3:42" x14ac:dyDescent="0.25">
      <c r="C652" s="22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7"/>
    </row>
    <row r="653" spans="3:42" x14ac:dyDescent="0.25">
      <c r="C653" s="22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7"/>
    </row>
    <row r="654" spans="3:42" x14ac:dyDescent="0.25">
      <c r="C654" s="22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7"/>
    </row>
    <row r="655" spans="3:42" x14ac:dyDescent="0.25">
      <c r="C655" s="22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7"/>
    </row>
    <row r="656" spans="3:42" x14ac:dyDescent="0.25">
      <c r="C656" s="22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7"/>
    </row>
    <row r="657" spans="3:42" x14ac:dyDescent="0.25">
      <c r="C657" s="22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7"/>
    </row>
    <row r="658" spans="3:42" x14ac:dyDescent="0.25">
      <c r="C658" s="22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7"/>
    </row>
    <row r="659" spans="3:42" x14ac:dyDescent="0.25">
      <c r="C659" s="22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7"/>
    </row>
    <row r="660" spans="3:42" x14ac:dyDescent="0.25">
      <c r="C660" s="22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7"/>
    </row>
    <row r="661" spans="3:42" x14ac:dyDescent="0.25">
      <c r="C661" s="22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7"/>
    </row>
    <row r="662" spans="3:42" x14ac:dyDescent="0.25">
      <c r="C662" s="22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7"/>
    </row>
    <row r="663" spans="3:42" x14ac:dyDescent="0.25">
      <c r="C663" s="22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7"/>
    </row>
    <row r="664" spans="3:42" x14ac:dyDescent="0.25">
      <c r="C664" s="22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7"/>
    </row>
    <row r="665" spans="3:42" x14ac:dyDescent="0.25">
      <c r="C665" s="22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7"/>
    </row>
    <row r="666" spans="3:42" x14ac:dyDescent="0.25">
      <c r="C666" s="22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7"/>
    </row>
    <row r="667" spans="3:42" x14ac:dyDescent="0.25">
      <c r="C667" s="22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7"/>
    </row>
    <row r="668" spans="3:42" x14ac:dyDescent="0.25">
      <c r="C668" s="22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7"/>
    </row>
    <row r="669" spans="3:42" x14ac:dyDescent="0.25">
      <c r="C669" s="22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7"/>
    </row>
    <row r="670" spans="3:42" x14ac:dyDescent="0.25">
      <c r="C670" s="22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7"/>
    </row>
    <row r="671" spans="3:42" x14ac:dyDescent="0.25">
      <c r="C671" s="22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7"/>
    </row>
    <row r="672" spans="3:42" x14ac:dyDescent="0.25">
      <c r="C672" s="22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7"/>
    </row>
    <row r="673" spans="3:42" x14ac:dyDescent="0.25">
      <c r="C673" s="22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7"/>
    </row>
    <row r="674" spans="3:42" x14ac:dyDescent="0.25">
      <c r="C674" s="22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7"/>
    </row>
    <row r="675" spans="3:42" x14ac:dyDescent="0.25">
      <c r="C675" s="22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7"/>
    </row>
    <row r="676" spans="3:42" x14ac:dyDescent="0.25">
      <c r="C676" s="22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7"/>
    </row>
    <row r="677" spans="3:42" x14ac:dyDescent="0.25">
      <c r="C677" s="22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7"/>
    </row>
    <row r="678" spans="3:42" x14ac:dyDescent="0.25">
      <c r="C678" s="22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7"/>
    </row>
  </sheetData>
  <conditionalFormatting sqref="A1:A4 A19:A1048576">
    <cfRule type="duplicateValues" dxfId="5" priority="7"/>
  </conditionalFormatting>
  <conditionalFormatting sqref="A5:A18">
    <cfRule type="duplicateValues" dxfId="4" priority="5"/>
  </conditionalFormatting>
  <conditionalFormatting sqref="G5">
    <cfRule type="expression" dxfId="3" priority="2">
      <formula>LEFT(N5,1)="A"</formula>
    </cfRule>
  </conditionalFormatting>
  <conditionalFormatting sqref="G5">
    <cfRule type="expression" dxfId="2" priority="3">
      <formula>$T5</formula>
    </cfRule>
  </conditionalFormatting>
  <conditionalFormatting sqref="A14:A18 A5:A12">
    <cfRule type="duplicateValues" dxfId="1" priority="4"/>
  </conditionalFormatting>
  <conditionalFormatting sqref="A13">
    <cfRule type="duplicateValues" dxfId="0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2023-06-13T22:40:18Z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